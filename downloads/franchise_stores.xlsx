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eevK\Desktop\Product\data\"/>
    </mc:Choice>
  </mc:AlternateContent>
  <bookViews>
    <workbookView xWindow="0" yWindow="0" windowWidth="19200" windowHeight="755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2" i="1"/>
</calcChain>
</file>

<file path=xl/sharedStrings.xml><?xml version="1.0" encoding="utf-8"?>
<sst xmlns="http://schemas.openxmlformats.org/spreadsheetml/2006/main" count="84" uniqueCount="82">
  <si>
    <t>Address line 1</t>
  </si>
  <si>
    <t>Locality</t>
  </si>
  <si>
    <t>Postal code</t>
  </si>
  <si>
    <t>Primary phone</t>
  </si>
  <si>
    <t xml:space="preserve">Latitude </t>
  </si>
  <si>
    <t>Longitude</t>
  </si>
  <si>
    <t>Store ID</t>
  </si>
  <si>
    <t>Store name</t>
  </si>
  <si>
    <t>KANDANA</t>
  </si>
  <si>
    <t>THIHARIYA</t>
  </si>
  <si>
    <t>NUGEGODA</t>
  </si>
  <si>
    <t>ALEXANDRA PLACE</t>
  </si>
  <si>
    <t>ALUTHKADE</t>
  </si>
  <si>
    <t>ATHTHIDIYA</t>
  </si>
  <si>
    <t>BAMBALAPITIYA</t>
  </si>
  <si>
    <t>BATTARAMULLA</t>
  </si>
  <si>
    <t>BLOEMENDHAL</t>
  </si>
  <si>
    <t>BOKUNDARA</t>
  </si>
  <si>
    <t>BORELLA</t>
  </si>
  <si>
    <t>CASTLE STREET</t>
  </si>
  <si>
    <t>CHATHAM STREET</t>
  </si>
  <si>
    <t>DALUGAMA</t>
  </si>
  <si>
    <t>DEANS ROAD</t>
  </si>
  <si>
    <t>DEHIWALA</t>
  </si>
  <si>
    <t>DRD MAHARAGAMA</t>
  </si>
  <si>
    <t>ENDERAMULLA</t>
  </si>
  <si>
    <t>FACTORY</t>
  </si>
  <si>
    <t>GAMPAHA</t>
  </si>
  <si>
    <t>GOTHATUWA</t>
  </si>
  <si>
    <t>GRANDPASS</t>
  </si>
  <si>
    <t>HENAMULLA</t>
  </si>
  <si>
    <t>HENDALA</t>
  </si>
  <si>
    <t>HILL STREET</t>
  </si>
  <si>
    <t>JA ELA</t>
  </si>
  <si>
    <t>JUDE PLACE</t>
  </si>
  <si>
    <t>KADAWATHA</t>
  </si>
  <si>
    <t>KALUBOWILA</t>
  </si>
  <si>
    <t>KANDY ROAD</t>
  </si>
  <si>
    <t>KATUNAYAKE</t>
  </si>
  <si>
    <t>KATUWAPITIYA</t>
  </si>
  <si>
    <t>KELANIYA</t>
  </si>
  <si>
    <t>KIRIBATHGODA</t>
  </si>
  <si>
    <t>KIRULAPANA</t>
  </si>
  <si>
    <t>KOLONNAWA NEW</t>
  </si>
  <si>
    <t>KOTAHENA</t>
  </si>
  <si>
    <t>KOTIKAWATHTHA</t>
  </si>
  <si>
    <t>KOTTAWA</t>
  </si>
  <si>
    <t>MADAPATHA</t>
  </si>
  <si>
    <t>MADIWELA</t>
  </si>
  <si>
    <t>MAHABAGE</t>
  </si>
  <si>
    <t>MAHARAGAMA</t>
  </si>
  <si>
    <t>MAKOLA</t>
  </si>
  <si>
    <t>MALABE</t>
  </si>
  <si>
    <t>MALIGAKANDA</t>
  </si>
  <si>
    <t>MALIGAWATHA</t>
  </si>
  <si>
    <t>MARADANA</t>
  </si>
  <si>
    <t>MATTAKKULIYA</t>
  </si>
  <si>
    <t>MODARA</t>
  </si>
  <si>
    <t>MORATUWA</t>
  </si>
  <si>
    <t>MOUNT LAVINIA</t>
  </si>
  <si>
    <t>NARAHENPITA</t>
  </si>
  <si>
    <t>NAWALA</t>
  </si>
  <si>
    <t>NEGOMBO</t>
  </si>
  <si>
    <t>NITTAMBUWA</t>
  </si>
  <si>
    <t>PAMANKADA</t>
  </si>
  <si>
    <t>PANADURA</t>
  </si>
  <si>
    <t>PERIYAMULLA</t>
  </si>
  <si>
    <t>PETTAH</t>
  </si>
  <si>
    <t>PILIYANDALA</t>
  </si>
  <si>
    <t>RADDOLUGAMA</t>
  </si>
  <si>
    <t>RAGAMA</t>
  </si>
  <si>
    <t>RAJAGIRIYA</t>
  </si>
  <si>
    <t>RATMALANA</t>
  </si>
  <si>
    <t>SLAVE ISLAND</t>
  </si>
  <si>
    <t>THALAHENA</t>
  </si>
  <si>
    <t>WATTALA</t>
  </si>
  <si>
    <t>WELLAMPITIYA</t>
  </si>
  <si>
    <t>WELLAWATTA</t>
  </si>
  <si>
    <t>YAKKALA</t>
  </si>
  <si>
    <t>NA</t>
  </si>
  <si>
    <t>Sales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</si>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</sst>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jeevK/Downloads/Jan%20to%20Dec%20sales%20report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5">
          <cell r="A5" t="str">
            <v>ALEXANDRA PLACE</v>
          </cell>
          <cell r="B5">
            <v>153074920.55000001</v>
          </cell>
          <cell r="C5">
            <v>244110</v>
          </cell>
          <cell r="D5">
            <v>0.15947093039337198</v>
          </cell>
          <cell r="E5">
            <v>17</v>
          </cell>
          <cell r="G5" t="str">
            <v>59A. C.W.W.Kannangara Mawatha</v>
          </cell>
          <cell r="H5" t="str">
            <v>Alexandra Place, Colombo 7</v>
          </cell>
          <cell r="I5">
            <v>700</v>
          </cell>
          <cell r="J5" t="str">
            <v>071 535 6583</v>
          </cell>
          <cell r="K5" t="str">
            <v xml:space="preserve">6.913840867955761, </v>
          </cell>
          <cell r="L5">
            <v>79.866852660000006</v>
          </cell>
        </row>
        <row r="6">
          <cell r="A6" t="str">
            <v>ALUTHKADE</v>
          </cell>
          <cell r="B6">
            <v>80605748.299999997</v>
          </cell>
          <cell r="C6">
            <v>765210</v>
          </cell>
          <cell r="D6">
            <v>0.94932435482395983</v>
          </cell>
          <cell r="E6">
            <v>9</v>
          </cell>
          <cell r="G6" t="str">
            <v>48, Abdul Hameed Mawatha</v>
          </cell>
          <cell r="H6" t="str">
            <v>Colombo 12</v>
          </cell>
          <cell r="I6">
            <v>1200</v>
          </cell>
          <cell r="J6" t="str">
            <v>070 598 2711</v>
          </cell>
          <cell r="K6" t="str">
            <v>6.939227216734877,</v>
          </cell>
          <cell r="L6">
            <v>79.865560720000005</v>
          </cell>
        </row>
        <row r="7">
          <cell r="A7" t="str">
            <v>ATHTHIDIYA</v>
          </cell>
          <cell r="B7">
            <v>118226998</v>
          </cell>
          <cell r="C7">
            <v>486190</v>
          </cell>
          <cell r="D7">
            <v>0.41123432737419252</v>
          </cell>
          <cell r="G7" t="str">
            <v xml:space="preserve">No 189, MAIN ROAD, ATHTHIDIYA, DEHIWALA. </v>
          </cell>
        </row>
        <row r="8">
          <cell r="A8" t="str">
            <v>BAMBALAPITIYA</v>
          </cell>
          <cell r="B8">
            <v>245763255.65000001</v>
          </cell>
          <cell r="C8">
            <v>568140</v>
          </cell>
          <cell r="D8">
            <v>0.23117369539127031</v>
          </cell>
          <cell r="E8">
            <v>18</v>
          </cell>
          <cell r="G8" t="str">
            <v>204 Colombo - Galle Main Road</v>
          </cell>
          <cell r="H8" t="str">
            <v>Colombo 4</v>
          </cell>
          <cell r="I8">
            <v>400</v>
          </cell>
          <cell r="J8" t="str">
            <v>071 535 6577</v>
          </cell>
          <cell r="K8" t="str">
            <v>6.888131670165178,</v>
          </cell>
          <cell r="L8">
            <v>79.858542459999995</v>
          </cell>
        </row>
        <row r="9">
          <cell r="A9" t="str">
            <v>BATTARAMULLA</v>
          </cell>
          <cell r="B9">
            <v>126172304</v>
          </cell>
          <cell r="C9">
            <v>488080</v>
          </cell>
          <cell r="D9">
            <v>0.38683608409021358</v>
          </cell>
          <cell r="E9">
            <v>65</v>
          </cell>
          <cell r="G9" t="str">
            <v xml:space="preserve">No 175/18, Main Street,, Battaramulla </v>
          </cell>
          <cell r="H9" t="str">
            <v xml:space="preserve">Battalamulla </v>
          </cell>
          <cell r="I9">
            <v>10120</v>
          </cell>
          <cell r="J9" t="str">
            <v xml:space="preserve"> 070 562 6630</v>
          </cell>
          <cell r="K9" t="str">
            <v xml:space="preserve">6.901980293374334, </v>
          </cell>
          <cell r="L9">
            <v>79.915988429999999</v>
          </cell>
        </row>
        <row r="10">
          <cell r="A10" t="str">
            <v>BLOEMENDHAL</v>
          </cell>
          <cell r="B10">
            <v>128883859.55</v>
          </cell>
          <cell r="C10">
            <v>533490</v>
          </cell>
          <cell r="D10">
            <v>0.41393080705581647</v>
          </cell>
          <cell r="E10">
            <v>13</v>
          </cell>
          <cell r="G10" t="str">
            <v>686, Bloemendhal Road</v>
          </cell>
          <cell r="H10" t="str">
            <v>Modara, Colombo 15</v>
          </cell>
          <cell r="I10">
            <v>1500</v>
          </cell>
          <cell r="J10" t="str">
            <v>071 223 1362</v>
          </cell>
          <cell r="K10" t="str">
            <v xml:space="preserve">6.962037284672595, </v>
          </cell>
          <cell r="L10">
            <v>79.870228990000001</v>
          </cell>
        </row>
        <row r="11">
          <cell r="A11" t="str">
            <v>BOKUNDARA</v>
          </cell>
          <cell r="B11">
            <v>76904636.5</v>
          </cell>
          <cell r="C11">
            <v>312320</v>
          </cell>
          <cell r="D11">
            <v>0.40611335572725837</v>
          </cell>
          <cell r="E11">
            <v>55</v>
          </cell>
          <cell r="G11" t="str">
            <v>NO 32/1, COLOMBO ROAD, KATUWAWALA, BORALASGAMUWA.</v>
          </cell>
          <cell r="H11" t="str">
            <v>Katuwala</v>
          </cell>
          <cell r="I11">
            <v>10290</v>
          </cell>
          <cell r="J11" t="str">
            <v xml:space="preserve"> 070 715 0777</v>
          </cell>
          <cell r="K11" t="str">
            <v xml:space="preserve">6.826482706935568, </v>
          </cell>
          <cell r="L11">
            <v>79.913370299999997</v>
          </cell>
        </row>
        <row r="12">
          <cell r="A12" t="str">
            <v>BORELLA</v>
          </cell>
          <cell r="B12">
            <v>242081165.56999999</v>
          </cell>
          <cell r="C12">
            <v>1029950</v>
          </cell>
          <cell r="D12">
            <v>0.42545647761357153</v>
          </cell>
          <cell r="E12">
            <v>2</v>
          </cell>
          <cell r="G12" t="str">
            <v>1121 Maradana Road</v>
          </cell>
          <cell r="H12" t="str">
            <v>Colombo 08</v>
          </cell>
          <cell r="I12">
            <v>800</v>
          </cell>
          <cell r="J12" t="str">
            <v>071 535 6581</v>
          </cell>
          <cell r="K12" t="str">
            <v>6.91684622567716,</v>
          </cell>
          <cell r="L12">
            <v>79.875986269999999</v>
          </cell>
        </row>
        <row r="13">
          <cell r="A13" t="str">
            <v>CASTLE STREET</v>
          </cell>
          <cell r="B13">
            <v>133826482.75</v>
          </cell>
          <cell r="C13">
            <v>766900</v>
          </cell>
          <cell r="D13">
            <v>0.57305548516330562</v>
          </cell>
          <cell r="E13">
            <v>4</v>
          </cell>
          <cell r="G13" t="str">
            <v>221 Castle Street</v>
          </cell>
          <cell r="H13" t="str">
            <v>Colombo 08</v>
          </cell>
          <cell r="I13">
            <v>800</v>
          </cell>
          <cell r="J13" t="str">
            <v>071 869 8649</v>
          </cell>
          <cell r="K13" t="str">
            <v>6.911532536789864,</v>
          </cell>
          <cell r="L13">
            <v>79.889395269999994</v>
          </cell>
        </row>
        <row r="14">
          <cell r="A14" t="str">
            <v>CHATHAM STREET</v>
          </cell>
          <cell r="B14">
            <v>218197117.02000001</v>
          </cell>
          <cell r="C14">
            <v>203750</v>
          </cell>
          <cell r="D14">
            <v>9.3378868970722562E-2</v>
          </cell>
          <cell r="E14">
            <v>44</v>
          </cell>
          <cell r="G14" t="str">
            <v>No. 111,Chatham Street</v>
          </cell>
          <cell r="H14" t="str">
            <v>Colombo 01</v>
          </cell>
          <cell r="I14">
            <v>100</v>
          </cell>
          <cell r="J14" t="str">
            <v>070 522 4211</v>
          </cell>
          <cell r="K14" t="str">
            <v xml:space="preserve">6.9354496307694316, </v>
          </cell>
          <cell r="L14">
            <v>79.846614779999996</v>
          </cell>
        </row>
        <row r="15">
          <cell r="A15" t="str">
            <v>DALUGAMA</v>
          </cell>
          <cell r="B15">
            <v>135846582.65000001</v>
          </cell>
          <cell r="C15">
            <v>188560</v>
          </cell>
          <cell r="D15">
            <v>0.138803638870926</v>
          </cell>
          <cell r="E15">
            <v>30</v>
          </cell>
          <cell r="G15" t="str">
            <v>No. 46, Kandy Road, Dalugama</v>
          </cell>
          <cell r="H15" t="str">
            <v>Kelaniya</v>
          </cell>
          <cell r="I15">
            <v>11300</v>
          </cell>
          <cell r="J15" t="str">
            <v>070 598 2719</v>
          </cell>
          <cell r="K15" t="str">
            <v xml:space="preserve">6.971922560157907, </v>
          </cell>
          <cell r="L15">
            <v>79.918361640000001</v>
          </cell>
        </row>
        <row r="16">
          <cell r="A16" t="str">
            <v>DEANS ROAD</v>
          </cell>
          <cell r="B16">
            <v>215305517.25999999</v>
          </cell>
          <cell r="C16">
            <v>750790</v>
          </cell>
          <cell r="D16">
            <v>0.34870913182097246</v>
          </cell>
          <cell r="E16">
            <v>1</v>
          </cell>
          <cell r="G16" t="str">
            <v>No. 314 Ven Baddegama Wimalawansa Mawatha</v>
          </cell>
          <cell r="H16" t="str">
            <v>Colombo 15</v>
          </cell>
          <cell r="I16">
            <v>1500</v>
          </cell>
          <cell r="J16" t="str">
            <v>071 126 6730</v>
          </cell>
          <cell r="K16" t="str">
            <v xml:space="preserve">6.922073119104552, </v>
          </cell>
          <cell r="L16">
            <v>79.863966640000001</v>
          </cell>
        </row>
        <row r="17">
          <cell r="A17" t="str">
            <v>DEHIWALA</v>
          </cell>
          <cell r="B17">
            <v>100723198.5</v>
          </cell>
          <cell r="C17">
            <v>649010</v>
          </cell>
          <cell r="D17">
            <v>0.64435006995930533</v>
          </cell>
          <cell r="E17">
            <v>25</v>
          </cell>
          <cell r="G17" t="str">
            <v>No. 08, Station Road,</v>
          </cell>
          <cell r="H17" t="str">
            <v>Dehiwala</v>
          </cell>
          <cell r="I17">
            <v>10350</v>
          </cell>
          <cell r="J17" t="str">
            <v>071 535 6552</v>
          </cell>
          <cell r="K17" t="str">
            <v>6.8518327930453795,</v>
          </cell>
          <cell r="L17">
            <v>79.867272790000001</v>
          </cell>
        </row>
        <row r="18">
          <cell r="A18" t="str">
            <v>DRD MAHARAGAMA</v>
          </cell>
          <cell r="B18">
            <v>18763077</v>
          </cell>
          <cell r="C18">
            <v>45900</v>
          </cell>
          <cell r="D18">
            <v>0.24462938568125042</v>
          </cell>
          <cell r="E18">
            <v>68</v>
          </cell>
          <cell r="G18" t="str">
            <v>NO 2, DEHIWALA ROAD, MAHARAGAMA.</v>
          </cell>
          <cell r="H18" t="str">
            <v>MAHARAGAMA DEHIWALA ROAD</v>
          </cell>
          <cell r="I18">
            <v>10280</v>
          </cell>
          <cell r="J18">
            <v>702669642</v>
          </cell>
          <cell r="K18" t="str">
            <v xml:space="preserve">6.846159593244982, </v>
          </cell>
          <cell r="L18">
            <v>79.926924990000003</v>
          </cell>
        </row>
        <row r="19">
          <cell r="A19" t="str">
            <v>ENDERAMULLA</v>
          </cell>
          <cell r="B19">
            <v>30026825.899999999</v>
          </cell>
          <cell r="C19">
            <v>173250</v>
          </cell>
          <cell r="D19">
            <v>0.57698406277434744</v>
          </cell>
          <cell r="E19">
            <v>61</v>
          </cell>
          <cell r="G19" t="str">
            <v>NO 310/01/01/A, DALUPITIYA ROAD, ENDERAMULLA, WATTALA.</v>
          </cell>
          <cell r="H19" t="str">
            <v xml:space="preserve">Enderamulla </v>
          </cell>
          <cell r="I19">
            <v>11300</v>
          </cell>
          <cell r="J19" t="str">
            <v xml:space="preserve"> 070 557 0118</v>
          </cell>
          <cell r="K19" t="str">
            <v>6.993967716528625,</v>
          </cell>
          <cell r="L19">
            <v>79.913965869999998</v>
          </cell>
        </row>
        <row r="20">
          <cell r="A20" t="str">
            <v>FACTORY</v>
          </cell>
          <cell r="B20">
            <v>8362590.7000000002</v>
          </cell>
          <cell r="C20">
            <v>0</v>
          </cell>
          <cell r="D20">
            <v>0</v>
          </cell>
        </row>
        <row r="21">
          <cell r="A21" t="str">
            <v>GAMPAHA</v>
          </cell>
          <cell r="B21">
            <v>275734041.30000001</v>
          </cell>
          <cell r="C21">
            <v>598430</v>
          </cell>
          <cell r="D21">
            <v>0.21703159942769099</v>
          </cell>
          <cell r="E21">
            <v>48</v>
          </cell>
          <cell r="G21" t="str">
            <v>No 17/2,Holy cross road</v>
          </cell>
          <cell r="H21" t="str">
            <v>Gampaha</v>
          </cell>
          <cell r="I21">
            <v>11000</v>
          </cell>
          <cell r="J21" t="str">
            <v>070 107 1744</v>
          </cell>
          <cell r="K21" t="str">
            <v xml:space="preserve">7.094473169206979, </v>
          </cell>
          <cell r="L21">
            <v>79.995157520000006</v>
          </cell>
        </row>
        <row r="22">
          <cell r="A22" t="str">
            <v>GOTHATUWA</v>
          </cell>
          <cell r="B22">
            <v>157670415</v>
          </cell>
          <cell r="C22">
            <v>604470</v>
          </cell>
          <cell r="D22">
            <v>0.38337566372232873</v>
          </cell>
          <cell r="E22">
            <v>37</v>
          </cell>
          <cell r="G22" t="str">
            <v>No. 54, Buthgamua road</v>
          </cell>
          <cell r="H22" t="str">
            <v>Gothatuwa</v>
          </cell>
          <cell r="I22">
            <v>10600</v>
          </cell>
          <cell r="J22" t="str">
            <v>070 692 1737</v>
          </cell>
          <cell r="K22" t="str">
            <v xml:space="preserve">6.9254299839487805, </v>
          </cell>
          <cell r="L22">
            <v>79.916192949999996</v>
          </cell>
        </row>
        <row r="23">
          <cell r="A23" t="str">
            <v>GRANDPASS</v>
          </cell>
          <cell r="B23">
            <v>146974597.5</v>
          </cell>
          <cell r="C23">
            <v>459480</v>
          </cell>
          <cell r="D23">
            <v>0.31262545216359583</v>
          </cell>
          <cell r="E23">
            <v>7</v>
          </cell>
          <cell r="G23" t="str">
            <v>49A, St. Joseph Street Grandpass road,</v>
          </cell>
          <cell r="H23" t="str">
            <v xml:space="preserve">Colombo 14 </v>
          </cell>
          <cell r="I23">
            <v>1400</v>
          </cell>
          <cell r="J23" t="str">
            <v>071 283 0271</v>
          </cell>
          <cell r="K23" t="str">
            <v>6.9485749044895595,</v>
          </cell>
          <cell r="L23">
            <v>79.874557969999998</v>
          </cell>
        </row>
        <row r="24">
          <cell r="A24" t="str">
            <v>HENAMULLA</v>
          </cell>
          <cell r="B24">
            <v>97836471.5</v>
          </cell>
          <cell r="C24">
            <v>469600</v>
          </cell>
          <cell r="D24">
            <v>0.47998460369658774</v>
          </cell>
          <cell r="E24">
            <v>34</v>
          </cell>
          <cell r="G24" t="str">
            <v>105D, Old Galle road, Henamulla</v>
          </cell>
          <cell r="H24" t="str">
            <v>Panadura</v>
          </cell>
          <cell r="I24">
            <v>12500</v>
          </cell>
          <cell r="J24" t="str">
            <v>070 698 1291</v>
          </cell>
          <cell r="K24" t="str">
            <v xml:space="preserve">6.7473370720070625, </v>
          </cell>
          <cell r="L24">
            <v>79.903663750000007</v>
          </cell>
        </row>
        <row r="25">
          <cell r="A25" t="str">
            <v>HENDALA</v>
          </cell>
          <cell r="B25">
            <v>108526711.5</v>
          </cell>
          <cell r="C25">
            <v>378720</v>
          </cell>
          <cell r="D25">
            <v>0.34896477997492809</v>
          </cell>
          <cell r="E25">
            <v>20</v>
          </cell>
          <cell r="G25" t="str">
            <v>No. 320 A, Hendala</v>
          </cell>
          <cell r="H25" t="str">
            <v>Wattala</v>
          </cell>
          <cell r="I25">
            <v>11300</v>
          </cell>
          <cell r="J25" t="str">
            <v>071 869 8650</v>
          </cell>
          <cell r="K25" t="str">
            <v>6.99691505548928,</v>
          </cell>
          <cell r="L25">
            <v>79.892927959999994</v>
          </cell>
        </row>
        <row r="26">
          <cell r="A26" t="str">
            <v>HILL STREET</v>
          </cell>
          <cell r="B26">
            <v>62941274</v>
          </cell>
          <cell r="C26">
            <v>217200</v>
          </cell>
          <cell r="D26">
            <v>0.34508357743124163</v>
          </cell>
          <cell r="E26">
            <v>53</v>
          </cell>
          <cell r="G26" t="str">
            <v>222, HILL STREET, DEHIWALA</v>
          </cell>
          <cell r="H26" t="str">
            <v>Dehiwala</v>
          </cell>
          <cell r="I26">
            <v>10350</v>
          </cell>
          <cell r="J26" t="str">
            <v>070 329 8446</v>
          </cell>
          <cell r="K26" t="str">
            <v xml:space="preserve">6.849846139660861, </v>
          </cell>
          <cell r="L26">
            <v>79.874673009999995</v>
          </cell>
        </row>
        <row r="27">
          <cell r="A27" t="str">
            <v>JA ELA</v>
          </cell>
          <cell r="B27">
            <v>175195902.5</v>
          </cell>
          <cell r="C27">
            <v>748230</v>
          </cell>
          <cell r="D27">
            <v>0.42708190621067749</v>
          </cell>
          <cell r="E27">
            <v>43</v>
          </cell>
          <cell r="G27" t="str">
            <v>No 31,Old Negombo Road,Kanuwana</v>
          </cell>
          <cell r="H27" t="str">
            <v>Ja Ela</v>
          </cell>
          <cell r="I27">
            <v>11350</v>
          </cell>
          <cell r="J27" t="str">
            <v>070 459 3055</v>
          </cell>
          <cell r="K27" t="str">
            <v xml:space="preserve">6.981962146999559, </v>
          </cell>
          <cell r="L27">
            <v>79.889431299999998</v>
          </cell>
        </row>
        <row r="28">
          <cell r="A28" t="str">
            <v>JUDE PLACE</v>
          </cell>
          <cell r="B28">
            <v>109312019.7</v>
          </cell>
          <cell r="C28">
            <v>344620</v>
          </cell>
          <cell r="D28">
            <v>0.3152626773759995</v>
          </cell>
          <cell r="E28">
            <v>64</v>
          </cell>
          <cell r="G28" t="str">
            <v>272 Kandy Rd, Kelaniya</v>
          </cell>
          <cell r="H28" t="str">
            <v xml:space="preserve">Jude Place </v>
          </cell>
          <cell r="I28">
            <v>11300</v>
          </cell>
          <cell r="J28" t="str">
            <v>070 436 8930</v>
          </cell>
          <cell r="K28" t="str">
            <v xml:space="preserve">6.973930766636542, </v>
          </cell>
          <cell r="L28">
            <v>79.921763630000001</v>
          </cell>
        </row>
        <row r="29">
          <cell r="A29" t="str">
            <v>KADAWATHA</v>
          </cell>
          <cell r="B29">
            <v>275560722</v>
          </cell>
          <cell r="C29">
            <v>616710</v>
          </cell>
          <cell r="D29">
            <v>0.22380185228285185</v>
          </cell>
          <cell r="E29">
            <v>31</v>
          </cell>
          <cell r="G29" t="str">
            <v>100 Kandy Road</v>
          </cell>
          <cell r="H29" t="str">
            <v>Kadawatha</v>
          </cell>
          <cell r="I29">
            <v>11850</v>
          </cell>
          <cell r="J29" t="str">
            <v>070 609 6382</v>
          </cell>
          <cell r="K29" t="str">
            <v>7.003996180972006,</v>
          </cell>
          <cell r="L29">
            <v>79.955530179999997</v>
          </cell>
        </row>
        <row r="30">
          <cell r="A30" t="str">
            <v>KALUBOWILA</v>
          </cell>
          <cell r="B30">
            <v>107269362.5</v>
          </cell>
          <cell r="C30">
            <v>445890</v>
          </cell>
          <cell r="D30">
            <v>0.4156732077157631</v>
          </cell>
          <cell r="E30">
            <v>52</v>
          </cell>
          <cell r="G30" t="str">
            <v xml:space="preserve">NO.42, S. DE S. JAYASINGHE MAWATHA </v>
          </cell>
          <cell r="H30" t="str">
            <v>Nugegoda</v>
          </cell>
          <cell r="I30">
            <v>10350</v>
          </cell>
          <cell r="J30">
            <v>702043121</v>
          </cell>
          <cell r="K30" t="str">
            <v xml:space="preserve">6.866149041075446, </v>
          </cell>
          <cell r="L30">
            <v>79.878610980000005</v>
          </cell>
        </row>
        <row r="31">
          <cell r="A31" t="str">
            <v>KANDANA</v>
          </cell>
          <cell r="B31">
            <v>124421615.75</v>
          </cell>
          <cell r="C31">
            <v>813650</v>
          </cell>
          <cell r="D31">
            <v>0.65394585586709031</v>
          </cell>
          <cell r="E31">
            <v>42</v>
          </cell>
          <cell r="G31" t="str">
            <v>NO 106 STATION ROAD</v>
          </cell>
          <cell r="H31" t="str">
            <v>KANDANA</v>
          </cell>
          <cell r="I31">
            <v>11320</v>
          </cell>
          <cell r="J31" t="str">
            <v>070 697 8448</v>
          </cell>
          <cell r="K31" t="str">
            <v xml:space="preserve">7.048655752069119, </v>
          </cell>
          <cell r="L31">
            <v>79.899443660000003</v>
          </cell>
        </row>
        <row r="32">
          <cell r="A32" t="str">
            <v>KANDY ROAD</v>
          </cell>
          <cell r="B32">
            <v>34726002</v>
          </cell>
          <cell r="C32">
            <v>201280</v>
          </cell>
          <cell r="D32">
            <v>0.5796233035982663</v>
          </cell>
          <cell r="E32">
            <v>58</v>
          </cell>
          <cell r="G32" t="str">
            <v xml:space="preserve">NO 35A, KANDY ROAD, KIRIBATHGODA </v>
          </cell>
          <cell r="H32" t="str">
            <v xml:space="preserve">Kiribathgoda </v>
          </cell>
          <cell r="I32">
            <v>11600</v>
          </cell>
          <cell r="J32" t="str">
            <v>070 519 4062</v>
          </cell>
          <cell r="K32" t="str">
            <v xml:space="preserve">6.97648937050954, </v>
          </cell>
          <cell r="L32">
            <v>79.926167109999994</v>
          </cell>
        </row>
        <row r="33">
          <cell r="A33" t="str">
            <v>KATUNAYAKE</v>
          </cell>
          <cell r="B33">
            <v>173150382.59999999</v>
          </cell>
          <cell r="C33">
            <v>828070</v>
          </cell>
          <cell r="D33">
            <v>0.47823746477820372</v>
          </cell>
          <cell r="E33">
            <v>14</v>
          </cell>
          <cell r="G33" t="str">
            <v>32/A, Colombo Road</v>
          </cell>
          <cell r="H33" t="str">
            <v>Kurana, Katunayake</v>
          </cell>
          <cell r="I33">
            <v>11450</v>
          </cell>
          <cell r="J33" t="str">
            <v>071 535 6578</v>
          </cell>
          <cell r="K33" t="str">
            <v xml:space="preserve">7.172384324026182, </v>
          </cell>
          <cell r="L33">
            <v>79.868130840000006</v>
          </cell>
        </row>
        <row r="34">
          <cell r="A34" t="str">
            <v>KATUWAPITIYA</v>
          </cell>
          <cell r="B34">
            <v>120553274.90000001</v>
          </cell>
          <cell r="C34">
            <v>904680</v>
          </cell>
          <cell r="D34">
            <v>0.75044000318567872</v>
          </cell>
          <cell r="E34">
            <v>16</v>
          </cell>
          <cell r="G34" t="str">
            <v>3 Katuwapitiya Road</v>
          </cell>
          <cell r="H34" t="str">
            <v>Negombo</v>
          </cell>
          <cell r="I34">
            <v>11500</v>
          </cell>
          <cell r="J34" t="str">
            <v>070 382 6495</v>
          </cell>
          <cell r="K34" t="str">
            <v xml:space="preserve">7.21202488091151, </v>
          </cell>
          <cell r="L34">
            <v>79.860011470000003</v>
          </cell>
        </row>
        <row r="35">
          <cell r="A35" t="str">
            <v>KELANIYA</v>
          </cell>
          <cell r="B35">
            <v>160527845</v>
          </cell>
          <cell r="C35">
            <v>244460</v>
          </cell>
          <cell r="D35">
            <v>0.15228510667417233</v>
          </cell>
          <cell r="E35">
            <v>62</v>
          </cell>
          <cell r="G35" t="str">
            <v>79A Vihara Mawatha, Peliyagoda</v>
          </cell>
          <cell r="H35" t="str">
            <v>Kelaniya</v>
          </cell>
          <cell r="I35">
            <v>11300</v>
          </cell>
          <cell r="J35" t="str">
            <v>071 711 4306</v>
          </cell>
          <cell r="K35" t="str">
            <v>6.953115173447595,</v>
          </cell>
          <cell r="L35">
            <v>79.917413240000002</v>
          </cell>
        </row>
        <row r="36">
          <cell r="A36" t="str">
            <v>KIRIBATHGODA</v>
          </cell>
          <cell r="B36">
            <v>132655030.5</v>
          </cell>
          <cell r="C36">
            <v>376360</v>
          </cell>
          <cell r="D36">
            <v>0.28371332664990795</v>
          </cell>
          <cell r="E36">
            <v>32</v>
          </cell>
          <cell r="G36" t="str">
            <v>2/3/M, National Housing Scheme</v>
          </cell>
          <cell r="H36" t="str">
            <v>Kiribathgoda</v>
          </cell>
          <cell r="I36">
            <v>11600</v>
          </cell>
          <cell r="J36" t="str">
            <v>070 691 5924</v>
          </cell>
          <cell r="K36" t="str">
            <v xml:space="preserve">6.981609842091302, </v>
          </cell>
          <cell r="L36">
            <v>79.930459540000001</v>
          </cell>
        </row>
        <row r="37">
          <cell r="A37" t="str">
            <v>KIRULAPANA</v>
          </cell>
          <cell r="B37">
            <v>172382122.69999999</v>
          </cell>
          <cell r="C37">
            <v>735920</v>
          </cell>
          <cell r="D37">
            <v>0.42691201876005214</v>
          </cell>
          <cell r="E37">
            <v>40</v>
          </cell>
          <cell r="G37" t="str">
            <v>104 HIGHLEVEL ROAD</v>
          </cell>
          <cell r="H37" t="str">
            <v>KIRULAPONE</v>
          </cell>
          <cell r="I37">
            <v>600</v>
          </cell>
          <cell r="J37" t="str">
            <v>070 611 6279</v>
          </cell>
          <cell r="K37" t="str">
            <v xml:space="preserve">6.878880425912368, </v>
          </cell>
          <cell r="L37">
            <v>79.878595730000001</v>
          </cell>
        </row>
        <row r="38">
          <cell r="A38" t="str">
            <v>KOLONNAWA NEW</v>
          </cell>
          <cell r="B38">
            <v>162512192.30000001</v>
          </cell>
          <cell r="C38">
            <v>462260</v>
          </cell>
          <cell r="D38">
            <v>0.2844463504293025</v>
          </cell>
          <cell r="E38">
            <v>3</v>
          </cell>
          <cell r="G38" t="str">
            <v>206B, Kolonnawa Road,</v>
          </cell>
          <cell r="H38" t="str">
            <v>Kolonnawa</v>
          </cell>
          <cell r="I38">
            <v>10600</v>
          </cell>
          <cell r="J38" t="str">
            <v>070 598 2722</v>
          </cell>
          <cell r="K38" t="str">
            <v xml:space="preserve">6.9330797211206505, </v>
          </cell>
          <cell r="L38">
            <v>79.89073913</v>
          </cell>
        </row>
        <row r="39">
          <cell r="A39" t="str">
            <v>KOTAHENA</v>
          </cell>
          <cell r="B39">
            <v>177784561.55000001</v>
          </cell>
          <cell r="C39">
            <v>763720</v>
          </cell>
          <cell r="D39">
            <v>0.42957610792611589</v>
          </cell>
          <cell r="E39">
            <v>22</v>
          </cell>
          <cell r="G39" t="str">
            <v>No 118,Jampettah Street</v>
          </cell>
          <cell r="H39" t="str">
            <v>Colombo 14</v>
          </cell>
          <cell r="I39">
            <v>1400</v>
          </cell>
          <cell r="J39" t="str">
            <v>071 869 8648</v>
          </cell>
          <cell r="K39" t="str">
            <v xml:space="preserve">6.946749505497561, </v>
          </cell>
          <cell r="L39">
            <v>79.859253199999998</v>
          </cell>
        </row>
        <row r="40">
          <cell r="A40" t="str">
            <v>KOTIKAWATHTHA</v>
          </cell>
          <cell r="B40">
            <v>154773709</v>
          </cell>
          <cell r="C40">
            <v>295610</v>
          </cell>
          <cell r="D40">
            <v>0.19099497059930248</v>
          </cell>
          <cell r="E40">
            <v>49</v>
          </cell>
          <cell r="G40" t="str">
            <v>No.275Kuda Buthgamuwa Road</v>
          </cell>
          <cell r="H40" t="str">
            <v>Kotikawatta</v>
          </cell>
          <cell r="I40">
            <v>10600</v>
          </cell>
          <cell r="J40" t="str">
            <v>070 357 0348</v>
          </cell>
          <cell r="K40" t="str">
            <v xml:space="preserve">6.93636071582328, </v>
          </cell>
          <cell r="L40">
            <v>79.917650739999999</v>
          </cell>
        </row>
        <row r="41">
          <cell r="A41" t="str">
            <v>KOTTAWA</v>
          </cell>
          <cell r="B41">
            <v>81581162.5</v>
          </cell>
          <cell r="C41">
            <v>147990</v>
          </cell>
          <cell r="D41">
            <v>0.18140217112007936</v>
          </cell>
          <cell r="E41">
            <v>56</v>
          </cell>
          <cell r="G41" t="str">
            <v>NO. 192/B/3, HORANA ROAD, KOTTAWA</v>
          </cell>
          <cell r="H41" t="str">
            <v xml:space="preserve">Kottawa </v>
          </cell>
          <cell r="I41">
            <v>10230</v>
          </cell>
          <cell r="J41" t="str">
            <v xml:space="preserve"> 070 276 9064</v>
          </cell>
          <cell r="K41" t="str">
            <v xml:space="preserve">6.835894077653388, </v>
          </cell>
          <cell r="L41">
            <v>79.965875370000006</v>
          </cell>
        </row>
        <row r="42">
          <cell r="A42" t="str">
            <v>MADAPATHA</v>
          </cell>
          <cell r="B42">
            <v>139819070.80000001</v>
          </cell>
          <cell r="C42">
            <v>429430</v>
          </cell>
          <cell r="D42">
            <v>0.30713263758866288</v>
          </cell>
          <cell r="E42">
            <v>38</v>
          </cell>
          <cell r="G42" t="str">
            <v>91/1/A, Madapatha road,</v>
          </cell>
          <cell r="H42" t="str">
            <v>Kolamunna, Piliynadala</v>
          </cell>
          <cell r="I42">
            <v>10300</v>
          </cell>
          <cell r="J42" t="str">
            <v>070 696 3571</v>
          </cell>
          <cell r="K42" t="str">
            <v xml:space="preserve">6.797179295549393, </v>
          </cell>
          <cell r="L42">
            <v>79.928370540000003</v>
          </cell>
        </row>
        <row r="43">
          <cell r="A43" t="str">
            <v>MADIWELA</v>
          </cell>
          <cell r="B43">
            <v>113770142</v>
          </cell>
          <cell r="C43">
            <v>431250</v>
          </cell>
          <cell r="D43">
            <v>0.37905375911370492</v>
          </cell>
          <cell r="E43">
            <v>51</v>
          </cell>
          <cell r="G43" t="str">
            <v>NO 459A, THALAWATHUGODA ROAD, MADIWELA</v>
          </cell>
          <cell r="H43" t="str">
            <v xml:space="preserve">Sri Jayawardenepura Kotte </v>
          </cell>
          <cell r="I43">
            <v>10100</v>
          </cell>
          <cell r="J43">
            <v>701035365</v>
          </cell>
          <cell r="K43" t="str">
            <v>6.878057051818773,</v>
          </cell>
          <cell r="L43">
            <v>79.925321240000002</v>
          </cell>
        </row>
        <row r="44">
          <cell r="A44" t="str">
            <v>MAHABAGE</v>
          </cell>
          <cell r="B44">
            <v>172887206.80000001</v>
          </cell>
          <cell r="C44">
            <v>929160</v>
          </cell>
          <cell r="D44">
            <v>0.53743710549669188</v>
          </cell>
          <cell r="E44">
            <v>28</v>
          </cell>
          <cell r="G44" t="str">
            <v>No. 606, Negombo Road</v>
          </cell>
          <cell r="H44" t="str">
            <v>Mahabage</v>
          </cell>
          <cell r="I44">
            <v>71722</v>
          </cell>
          <cell r="J44" t="str">
            <v>070 692 6361</v>
          </cell>
          <cell r="K44" t="str">
            <v>7.0219770924509275,</v>
          </cell>
          <cell r="L44">
            <v>79.902138280000003</v>
          </cell>
        </row>
        <row r="45">
          <cell r="A45" t="str">
            <v>MAHARAGAMA</v>
          </cell>
          <cell r="B45">
            <v>363649485</v>
          </cell>
          <cell r="C45">
            <v>647560</v>
          </cell>
          <cell r="D45">
            <v>0.17807257447374084</v>
          </cell>
          <cell r="E45">
            <v>47</v>
          </cell>
          <cell r="G45" t="str">
            <v>119A, High level road</v>
          </cell>
          <cell r="H45" t="str">
            <v>Maharagama</v>
          </cell>
          <cell r="I45">
            <v>10280</v>
          </cell>
          <cell r="J45" t="str">
            <v>070 147 5354</v>
          </cell>
          <cell r="K45" t="str">
            <v>6.846438201331178,</v>
          </cell>
          <cell r="L45">
            <v>79.930647710000002</v>
          </cell>
        </row>
        <row r="46">
          <cell r="A46" t="str">
            <v>MAKOLA</v>
          </cell>
          <cell r="B46">
            <v>115522703.5</v>
          </cell>
          <cell r="C46">
            <v>374040</v>
          </cell>
          <cell r="D46">
            <v>0.32378051124816343</v>
          </cell>
          <cell r="E46">
            <v>54</v>
          </cell>
          <cell r="G46" t="str">
            <v>NO.163/B/1, MAKOLA SOUTH, MAKOLA</v>
          </cell>
          <cell r="H46" t="str">
            <v>Makola</v>
          </cell>
          <cell r="I46">
            <v>11640</v>
          </cell>
          <cell r="J46" t="str">
            <v>070 448 4122</v>
          </cell>
          <cell r="K46" t="str">
            <v xml:space="preserve">6.9745041780140395, </v>
          </cell>
          <cell r="L46">
            <v>79.952167059999994</v>
          </cell>
        </row>
        <row r="47">
          <cell r="A47" t="str">
            <v>MALABE</v>
          </cell>
          <cell r="B47">
            <v>58910562</v>
          </cell>
          <cell r="C47">
            <v>140210</v>
          </cell>
          <cell r="D47">
            <v>0.23800485895890791</v>
          </cell>
          <cell r="E47">
            <v>60</v>
          </cell>
          <cell r="G47" t="str">
            <v>NO. 172/2/6, NEW KANDY ROAD, WELIWITA, MALABE.</v>
          </cell>
          <cell r="H47" t="str">
            <v>Malabe</v>
          </cell>
          <cell r="I47">
            <v>10116</v>
          </cell>
          <cell r="J47" t="str">
            <v>070 557 0117</v>
          </cell>
          <cell r="K47" t="str">
            <v xml:space="preserve">6.915430684020902, </v>
          </cell>
          <cell r="L47">
            <v>79.972884640000004</v>
          </cell>
        </row>
        <row r="48">
          <cell r="A48" t="str">
            <v>MALIGAKANDA</v>
          </cell>
          <cell r="B48">
            <v>107732764.25</v>
          </cell>
          <cell r="C48">
            <v>739390</v>
          </cell>
          <cell r="D48">
            <v>0.68631860061086281</v>
          </cell>
          <cell r="E48">
            <v>21</v>
          </cell>
          <cell r="G48" t="str">
            <v>24, Ven Hikkaduwe Sri Sumangala Nahimi Mawatha,</v>
          </cell>
          <cell r="H48" t="str">
            <v>Maligakanda road, Colombo 10</v>
          </cell>
          <cell r="I48">
            <v>100</v>
          </cell>
          <cell r="J48" t="str">
            <v>070 268 3204</v>
          </cell>
          <cell r="K48" t="str">
            <v xml:space="preserve">6.927138017780568, </v>
          </cell>
          <cell r="L48">
            <v>79.871164109999995</v>
          </cell>
        </row>
        <row r="49">
          <cell r="A49" t="str">
            <v>MALIGAWATHA</v>
          </cell>
          <cell r="B49">
            <v>187809612.5</v>
          </cell>
          <cell r="C49">
            <v>826530</v>
          </cell>
          <cell r="D49">
            <v>0.44008929521645224</v>
          </cell>
          <cell r="E49">
            <v>24</v>
          </cell>
          <cell r="G49" t="str">
            <v>No. 26, 28, Sri Saddarma Mawatha,</v>
          </cell>
          <cell r="H49" t="str">
            <v>Colombo 10</v>
          </cell>
          <cell r="I49">
            <v>1000</v>
          </cell>
          <cell r="J49" t="str">
            <v>071 535 6586</v>
          </cell>
          <cell r="K49" t="str">
            <v xml:space="preserve">6.936165230661296, </v>
          </cell>
          <cell r="L49">
            <v>79.874095909999994</v>
          </cell>
        </row>
        <row r="50">
          <cell r="A50" t="str">
            <v>MARADANA</v>
          </cell>
          <cell r="B50">
            <v>138378513.5</v>
          </cell>
          <cell r="C50">
            <v>740810</v>
          </cell>
          <cell r="D50">
            <v>0.53535045381160273</v>
          </cell>
          <cell r="E50">
            <v>5</v>
          </cell>
          <cell r="G50" t="str">
            <v>No 23 Sri Dhamma Mawatha</v>
          </cell>
          <cell r="H50" t="str">
            <v>Colombo 10</v>
          </cell>
          <cell r="I50">
            <v>1000</v>
          </cell>
          <cell r="J50" t="str">
            <v>071 535 6567</v>
          </cell>
          <cell r="K50" t="str">
            <v xml:space="preserve">6.923660222874464, </v>
          </cell>
          <cell r="L50">
            <v>79.874976279999998</v>
          </cell>
        </row>
        <row r="51">
          <cell r="A51" t="str">
            <v>MATTAKKULIYA</v>
          </cell>
          <cell r="B51">
            <v>125830976.05</v>
          </cell>
          <cell r="C51">
            <v>468440</v>
          </cell>
          <cell r="D51">
            <v>0.37227717268430105</v>
          </cell>
          <cell r="E51">
            <v>11</v>
          </cell>
          <cell r="G51" t="str">
            <v>80/A Vystwyke Road</v>
          </cell>
          <cell r="H51" t="str">
            <v>Mattakkuliya</v>
          </cell>
          <cell r="I51">
            <v>1500</v>
          </cell>
          <cell r="J51" t="str">
            <v>071 868 4227</v>
          </cell>
          <cell r="K51" t="str">
            <v xml:space="preserve">6.9728475584338865, </v>
          </cell>
          <cell r="L51">
            <v>79.875853039999996</v>
          </cell>
        </row>
        <row r="52">
          <cell r="A52" t="str">
            <v>MODARA</v>
          </cell>
          <cell r="B52">
            <v>99985212.650000006</v>
          </cell>
          <cell r="C52">
            <v>617780</v>
          </cell>
          <cell r="D52">
            <v>0.61787136680155874</v>
          </cell>
          <cell r="E52">
            <v>26</v>
          </cell>
          <cell r="G52" t="str">
            <v>No. 218, Aluthmawatha Road,</v>
          </cell>
          <cell r="H52" t="str">
            <v>Colombo 15</v>
          </cell>
          <cell r="I52">
            <v>1500</v>
          </cell>
          <cell r="J52" t="str">
            <v>070 598 2707</v>
          </cell>
          <cell r="K52" t="str">
            <v>6.957564888706071,</v>
          </cell>
          <cell r="L52">
            <v>79.863825910000003</v>
          </cell>
        </row>
        <row r="53">
          <cell r="A53" t="str">
            <v>MORATUWA</v>
          </cell>
          <cell r="B53">
            <v>249060876.69999999</v>
          </cell>
          <cell r="C53">
            <v>1240240</v>
          </cell>
          <cell r="D53">
            <v>0.49796660817744576</v>
          </cell>
          <cell r="E53">
            <v>45</v>
          </cell>
          <cell r="G53" t="str">
            <v>5, New Galle Road, Kurasa Handiya</v>
          </cell>
          <cell r="H53" t="str">
            <v>Moratuwa</v>
          </cell>
          <cell r="I53">
            <v>10400</v>
          </cell>
          <cell r="J53" t="str">
            <v>070 558 9405</v>
          </cell>
          <cell r="K53" t="str">
            <v>6.779759275603281,</v>
          </cell>
          <cell r="L53">
            <v>79.886005370000007</v>
          </cell>
        </row>
        <row r="54">
          <cell r="A54" t="str">
            <v>MOUNT LAVINIA</v>
          </cell>
          <cell r="B54">
            <v>165342167</v>
          </cell>
          <cell r="C54">
            <v>891310</v>
          </cell>
          <cell r="D54">
            <v>0.53906998811742923</v>
          </cell>
          <cell r="E54">
            <v>36</v>
          </cell>
          <cell r="G54" t="str">
            <v>401, Galle Road</v>
          </cell>
          <cell r="H54" t="str">
            <v>Mount Lavinia</v>
          </cell>
          <cell r="I54">
            <v>10370</v>
          </cell>
          <cell r="J54" t="str">
            <v>070 675 4356</v>
          </cell>
          <cell r="K54" t="str">
            <v xml:space="preserve">6.839092015425288, </v>
          </cell>
          <cell r="L54">
            <v>79.869744249999997</v>
          </cell>
        </row>
        <row r="55">
          <cell r="A55" t="str">
            <v>NARAHENPITA</v>
          </cell>
          <cell r="B55">
            <v>198418241.94999999</v>
          </cell>
          <cell r="C55">
            <v>332480</v>
          </cell>
          <cell r="D55">
            <v>0.16756523832308859</v>
          </cell>
          <cell r="E55">
            <v>15</v>
          </cell>
          <cell r="G55" t="str">
            <v>221, Kirula Road, Narahenpita</v>
          </cell>
          <cell r="H55" t="str">
            <v>Colombo 05</v>
          </cell>
          <cell r="I55">
            <v>500</v>
          </cell>
          <cell r="J55" t="str">
            <v>071 535 6576</v>
          </cell>
          <cell r="K55" t="str">
            <v xml:space="preserve">6.893007228389358, </v>
          </cell>
          <cell r="L55">
            <v>79.877998070000004</v>
          </cell>
        </row>
        <row r="56">
          <cell r="A56" t="str">
            <v>NAWALA</v>
          </cell>
          <cell r="B56">
            <v>170937135.75</v>
          </cell>
          <cell r="C56">
            <v>640090</v>
          </cell>
          <cell r="D56">
            <v>0.37445929884782214</v>
          </cell>
          <cell r="E56">
            <v>19</v>
          </cell>
          <cell r="G56" t="str">
            <v xml:space="preserve">266 A266 A Nawala Rd, </v>
          </cell>
          <cell r="H56" t="str">
            <v>Sri Jayawardenepura Kotte</v>
          </cell>
          <cell r="I56">
            <v>500</v>
          </cell>
          <cell r="J56" t="str">
            <v>071 870 1688</v>
          </cell>
          <cell r="K56" t="str">
            <v xml:space="preserve">6.8883125083638905, </v>
          </cell>
          <cell r="L56">
            <v>79.891460100000003</v>
          </cell>
        </row>
        <row r="57">
          <cell r="A57" t="str">
            <v>NEGOMBO</v>
          </cell>
          <cell r="B57">
            <v>203433106.5</v>
          </cell>
          <cell r="C57">
            <v>808020</v>
          </cell>
          <cell r="D57">
            <v>0.39719198802088779</v>
          </cell>
          <cell r="E57">
            <v>6</v>
          </cell>
          <cell r="G57" t="str">
            <v>No1, 4th Lane Archbishop Nicholas Marcus Fernando Mawatha</v>
          </cell>
          <cell r="H57" t="str">
            <v xml:space="preserve">Negombo </v>
          </cell>
          <cell r="I57">
            <v>11500</v>
          </cell>
          <cell r="J57" t="str">
            <v>071 535 6558</v>
          </cell>
          <cell r="K57" t="str">
            <v xml:space="preserve">7.201230325805667, </v>
          </cell>
          <cell r="L57">
            <v>79.850923539999997</v>
          </cell>
        </row>
        <row r="58">
          <cell r="A58" t="str">
            <v>NITTAMBUWA</v>
          </cell>
          <cell r="B58">
            <v>29500113</v>
          </cell>
          <cell r="C58">
            <v>81800</v>
          </cell>
          <cell r="D58">
            <v>0.27728707344273562</v>
          </cell>
          <cell r="E58">
            <v>66</v>
          </cell>
          <cell r="G58" t="str">
            <v>NO 491/1, KANDY ROAD, NITTAMBUWA.</v>
          </cell>
          <cell r="H58" t="str">
            <v>NITTABUWA</v>
          </cell>
          <cell r="I58">
            <v>11880</v>
          </cell>
          <cell r="J58">
            <v>715981573</v>
          </cell>
          <cell r="K58" t="str">
            <v xml:space="preserve">7.141137516545126, </v>
          </cell>
          <cell r="L58">
            <v>80.094363740000006</v>
          </cell>
        </row>
        <row r="59">
          <cell r="A59" t="str">
            <v>NUGEGODA</v>
          </cell>
          <cell r="B59">
            <v>7141882</v>
          </cell>
          <cell r="C59">
            <v>28000</v>
          </cell>
          <cell r="D59">
            <v>0.39205352314697994</v>
          </cell>
          <cell r="E59">
            <v>70</v>
          </cell>
          <cell r="G59" t="str">
            <v>NO 2, DEHIWALA ROAD, MAHARAGAMA.</v>
          </cell>
          <cell r="H59" t="str">
            <v>NUGEGODA</v>
          </cell>
          <cell r="I59">
            <v>10250</v>
          </cell>
          <cell r="J59">
            <v>715356582</v>
          </cell>
          <cell r="K59" t="str">
            <v>6.874895286246623,</v>
          </cell>
          <cell r="L59">
            <v>79.894136000000003</v>
          </cell>
        </row>
        <row r="60">
          <cell r="A60" t="str">
            <v>PAMANKADA</v>
          </cell>
          <cell r="B60">
            <v>124993261.5</v>
          </cell>
          <cell r="C60">
            <v>487450</v>
          </cell>
          <cell r="D60">
            <v>0.38998102309699312</v>
          </cell>
          <cell r="E60">
            <v>46</v>
          </cell>
          <cell r="G60" t="str">
            <v>188 W.A. Silva Mawatha,</v>
          </cell>
          <cell r="H60" t="str">
            <v>Colombo 6</v>
          </cell>
          <cell r="I60">
            <v>600</v>
          </cell>
          <cell r="J60" t="str">
            <v>070 692 6363</v>
          </cell>
          <cell r="K60" t="str">
            <v>6.877506782086008,</v>
          </cell>
          <cell r="L60">
            <v>79.870502700000003</v>
          </cell>
        </row>
        <row r="61">
          <cell r="A61" t="str">
            <v>PANADURA</v>
          </cell>
          <cell r="B61">
            <v>269714835</v>
          </cell>
          <cell r="C61">
            <v>331640</v>
          </cell>
          <cell r="D61">
            <v>0.12295949534996842</v>
          </cell>
          <cell r="E61">
            <v>35</v>
          </cell>
          <cell r="G61" t="str">
            <v>437E, Galle road</v>
          </cell>
          <cell r="H61" t="str">
            <v>Panadura</v>
          </cell>
          <cell r="I61">
            <v>12500</v>
          </cell>
          <cell r="J61" t="str">
            <v>070 698 1292</v>
          </cell>
          <cell r="K61" t="str">
            <v xml:space="preserve">6.711638765810424, </v>
          </cell>
          <cell r="L61">
            <v>79.91006127</v>
          </cell>
        </row>
        <row r="62">
          <cell r="A62" t="str">
            <v>PERIYAMULLA</v>
          </cell>
          <cell r="B62">
            <v>147128629</v>
          </cell>
          <cell r="C62">
            <v>662560</v>
          </cell>
          <cell r="D62">
            <v>0.45032704002155832</v>
          </cell>
          <cell r="E62">
            <v>23</v>
          </cell>
          <cell r="G62" t="str">
            <v>No.66 Adnives Road Periyamulla</v>
          </cell>
          <cell r="H62" t="str">
            <v>Negombo</v>
          </cell>
          <cell r="I62">
            <v>11500</v>
          </cell>
          <cell r="J62" t="str">
            <v>070 625 3498</v>
          </cell>
          <cell r="K62" t="str">
            <v xml:space="preserve">7.225526731288184, </v>
          </cell>
          <cell r="L62">
            <v>79.848824460000003</v>
          </cell>
        </row>
        <row r="63">
          <cell r="A63" t="str">
            <v>PETTAH</v>
          </cell>
          <cell r="B63">
            <v>47757869.299999997</v>
          </cell>
          <cell r="C63">
            <v>141270</v>
          </cell>
          <cell r="D63">
            <v>0.29580465391490995</v>
          </cell>
          <cell r="E63">
            <v>57</v>
          </cell>
          <cell r="G63" t="str">
            <v>NO. 92 &amp; 94, GUNASINGHEPURA, KESELWATTE</v>
          </cell>
          <cell r="H63" t="str">
            <v xml:space="preserve">Keselwatte </v>
          </cell>
          <cell r="I63">
            <v>1100</v>
          </cell>
          <cell r="J63" t="str">
            <v>070 519 4061</v>
          </cell>
          <cell r="K63" t="str">
            <v xml:space="preserve">6.936496830727487, </v>
          </cell>
          <cell r="L63">
            <v>79.85634494</v>
          </cell>
        </row>
        <row r="64">
          <cell r="A64" t="str">
            <v>PILIYANDALA</v>
          </cell>
          <cell r="B64">
            <v>181570353.69999999</v>
          </cell>
          <cell r="C64">
            <v>796890</v>
          </cell>
          <cell r="D64">
            <v>0.43888772795842174</v>
          </cell>
          <cell r="E64">
            <v>33</v>
          </cell>
          <cell r="G64" t="str">
            <v>85/2, Moratuwa Road</v>
          </cell>
          <cell r="H64" t="str">
            <v>Piliyandala</v>
          </cell>
          <cell r="I64">
            <v>10300</v>
          </cell>
          <cell r="J64" t="str">
            <v>070 695 6256</v>
          </cell>
          <cell r="K64" t="str">
            <v>6.80117116719397,</v>
          </cell>
          <cell r="L64">
            <v>79.92137726</v>
          </cell>
        </row>
        <row r="65">
          <cell r="A65" t="str">
            <v>RADDOLUGAMA</v>
          </cell>
          <cell r="B65">
            <v>106081233.7</v>
          </cell>
          <cell r="C65">
            <v>681070</v>
          </cell>
          <cell r="D65">
            <v>0.64202684701620316</v>
          </cell>
          <cell r="E65">
            <v>10</v>
          </cell>
          <cell r="G65" t="str">
            <v>65/A, National Housing Scheme</v>
          </cell>
          <cell r="H65" t="str">
            <v>Raddolugama</v>
          </cell>
          <cell r="I65">
            <v>11400</v>
          </cell>
          <cell r="J65" t="str">
            <v>070 158 7828</v>
          </cell>
          <cell r="K65" t="str">
            <v>7.139885708670423,</v>
          </cell>
          <cell r="L65">
            <v>79.903090340000006</v>
          </cell>
        </row>
        <row r="66">
          <cell r="A66" t="str">
            <v>RAGAMA</v>
          </cell>
          <cell r="B66">
            <v>194797971</v>
          </cell>
          <cell r="C66">
            <v>344030</v>
          </cell>
          <cell r="D66">
            <v>0.17660861570267589</v>
          </cell>
          <cell r="E66">
            <v>39</v>
          </cell>
          <cell r="G66" t="str">
            <v>34 Thewatta Road</v>
          </cell>
          <cell r="H66" t="str">
            <v>Ragama</v>
          </cell>
          <cell r="I66">
            <v>11010</v>
          </cell>
          <cell r="J66" t="str">
            <v>070 648 5734</v>
          </cell>
          <cell r="K66" t="str">
            <v xml:space="preserve">7.031174434645436, </v>
          </cell>
          <cell r="L66">
            <v>79.923615659999996</v>
          </cell>
        </row>
        <row r="67">
          <cell r="A67" t="str">
            <v>RAJAGIRIYA</v>
          </cell>
          <cell r="B67">
            <v>134723497.5</v>
          </cell>
          <cell r="C67">
            <v>697720</v>
          </cell>
          <cell r="D67">
            <v>0.51789035539253281</v>
          </cell>
          <cell r="E67">
            <v>27</v>
          </cell>
          <cell r="G67" t="str">
            <v>No. 83B, Main Street, Obeysekarapura</v>
          </cell>
          <cell r="H67" t="str">
            <v>Rajagiriya</v>
          </cell>
          <cell r="I67">
            <v>10100</v>
          </cell>
          <cell r="J67" t="str">
            <v>071 868 4224</v>
          </cell>
          <cell r="K67" t="str">
            <v>6.9159563545718905,</v>
          </cell>
          <cell r="L67">
            <v>79.89295276</v>
          </cell>
        </row>
        <row r="68">
          <cell r="A68" t="str">
            <v>RATMALANA</v>
          </cell>
          <cell r="B68">
            <v>8779420</v>
          </cell>
          <cell r="C68">
            <v>46220</v>
          </cell>
          <cell r="D68">
            <v>0.52645846764364845</v>
          </cell>
          <cell r="E68">
            <v>69</v>
          </cell>
          <cell r="G68" t="str">
            <v>NO 245, GALLE ROAD, RATMALANA.</v>
          </cell>
          <cell r="H68" t="str">
            <v>RATHMALANA</v>
          </cell>
          <cell r="I68">
            <v>10390</v>
          </cell>
          <cell r="J68">
            <v>715981571</v>
          </cell>
          <cell r="K68" t="str">
            <v xml:space="preserve">6.824847253481354, </v>
          </cell>
          <cell r="L68">
            <v>79.870381890000004</v>
          </cell>
        </row>
        <row r="69">
          <cell r="A69" t="str">
            <v>SLAVE ISLAND</v>
          </cell>
          <cell r="B69">
            <v>178702354.09999999</v>
          </cell>
          <cell r="C69">
            <v>712990</v>
          </cell>
          <cell r="D69">
            <v>0.39898187328915552</v>
          </cell>
          <cell r="E69">
            <v>8</v>
          </cell>
          <cell r="G69" t="str">
            <v>40Metro Homes</v>
          </cell>
          <cell r="H69" t="str">
            <v xml:space="preserve">Slave Island </v>
          </cell>
          <cell r="I69">
            <v>200</v>
          </cell>
          <cell r="J69" t="str">
            <v>070 693 4534</v>
          </cell>
          <cell r="K69" t="str">
            <v xml:space="preserve">6.926555635637179, </v>
          </cell>
          <cell r="L69">
            <v>79.852095509999998</v>
          </cell>
        </row>
        <row r="70">
          <cell r="A70" t="str">
            <v>THALAHENA</v>
          </cell>
          <cell r="B70">
            <v>253983311.86000001</v>
          </cell>
          <cell r="C70">
            <v>635260</v>
          </cell>
          <cell r="D70">
            <v>0.25011879534438319</v>
          </cell>
          <cell r="E70">
            <v>63</v>
          </cell>
          <cell r="G70" t="str">
            <v xml:space="preserve">14B Kaduwela Road Koswatta, </v>
          </cell>
          <cell r="H70" t="str">
            <v>Thalahena</v>
          </cell>
          <cell r="I70">
            <v>10115</v>
          </cell>
          <cell r="J70" t="str">
            <v>071 708 1608</v>
          </cell>
          <cell r="K70" t="str">
            <v xml:space="preserve">6.908069742596048, </v>
          </cell>
          <cell r="L70">
            <v>79.936771280000002</v>
          </cell>
        </row>
        <row r="71">
          <cell r="A71" t="str">
            <v>THIHARIYA</v>
          </cell>
          <cell r="B71">
            <v>19427896</v>
          </cell>
          <cell r="C71">
            <v>92840</v>
          </cell>
          <cell r="D71">
            <v>0.47786955417097149</v>
          </cell>
          <cell r="E71">
            <v>67</v>
          </cell>
          <cell r="G71" t="str">
            <v>NO 126 E, KANDY ROAD, THIHARIYA.</v>
          </cell>
          <cell r="H71" t="str">
            <v>THIHARIYA</v>
          </cell>
          <cell r="I71">
            <v>11100</v>
          </cell>
          <cell r="J71">
            <v>715981548</v>
          </cell>
          <cell r="K71" t="str">
            <v xml:space="preserve">7.126946574852639, </v>
          </cell>
          <cell r="L71">
            <v>80.074375860000004</v>
          </cell>
        </row>
        <row r="72">
          <cell r="A72" t="str">
            <v>WATTALA</v>
          </cell>
          <cell r="B72">
            <v>199981672.55000001</v>
          </cell>
          <cell r="C72">
            <v>679590</v>
          </cell>
          <cell r="D72">
            <v>0.33982614073301481</v>
          </cell>
          <cell r="E72">
            <v>50</v>
          </cell>
          <cell r="G72" t="str">
            <v>238, Negombo road</v>
          </cell>
          <cell r="H72" t="str">
            <v>Wattala</v>
          </cell>
          <cell r="I72">
            <v>11300</v>
          </cell>
          <cell r="J72" t="str">
            <v>070 283 7239</v>
          </cell>
          <cell r="K72" t="str">
            <v xml:space="preserve">6.982061378316514, </v>
          </cell>
          <cell r="L72">
            <v>79.889698850000002</v>
          </cell>
        </row>
        <row r="73">
          <cell r="A73" t="str">
            <v>WELLAMPITIYA</v>
          </cell>
          <cell r="B73">
            <v>160949457</v>
          </cell>
          <cell r="C73">
            <v>593250</v>
          </cell>
          <cell r="D73">
            <v>0.3685939741940229</v>
          </cell>
          <cell r="E73">
            <v>41</v>
          </cell>
          <cell r="G73" t="str">
            <v xml:space="preserve">No 377 C Avissawella Road </v>
          </cell>
          <cell r="H73" t="str">
            <v>Wellampitiya</v>
          </cell>
          <cell r="I73">
            <v>10600</v>
          </cell>
          <cell r="J73" t="str">
            <v>070 631 5029</v>
          </cell>
          <cell r="K73" t="str">
            <v>6.937823525938068,</v>
          </cell>
          <cell r="L73">
            <v>79.902050540000005</v>
          </cell>
        </row>
        <row r="74">
          <cell r="A74" t="str">
            <v>WELLAWATTA</v>
          </cell>
          <cell r="B74">
            <v>161392433.30000001</v>
          </cell>
          <cell r="C74">
            <v>828570</v>
          </cell>
          <cell r="D74">
            <v>0.51338838076741478</v>
          </cell>
          <cell r="E74">
            <v>29</v>
          </cell>
          <cell r="G74" t="str">
            <v>181/A, Rajaguru Sri Subuthi Rd</v>
          </cell>
          <cell r="H74" t="str">
            <v>Colombo 06</v>
          </cell>
          <cell r="I74">
            <v>600</v>
          </cell>
          <cell r="J74" t="str">
            <v>070 676 9965</v>
          </cell>
          <cell r="K74" t="str">
            <v xml:space="preserve">6.872320044467023, </v>
          </cell>
          <cell r="L74">
            <v>79.866141740000003</v>
          </cell>
        </row>
        <row r="75">
          <cell r="A75" t="str">
            <v>YAKKALA</v>
          </cell>
          <cell r="B75">
            <v>41159186</v>
          </cell>
          <cell r="C75">
            <v>150260</v>
          </cell>
          <cell r="D75">
            <v>0.36507038793235608</v>
          </cell>
          <cell r="E75">
            <v>59</v>
          </cell>
          <cell r="G75" t="str">
            <v xml:space="preserve"> NO. 6, RADAWANA ROAD, YAKKALA</v>
          </cell>
          <cell r="H75" t="str">
            <v>Yakkala</v>
          </cell>
          <cell r="I75">
            <v>11870</v>
          </cell>
          <cell r="J75" t="str">
            <v>070 404 0221</v>
          </cell>
          <cell r="K75" t="str">
            <v xml:space="preserve">7.085387527046633, </v>
          </cell>
          <cell r="L75">
            <v>80.034986099999998</v>
          </cell>
        </row>
        <row r="76">
          <cell r="A76" t="str">
            <v>ALL OUTLETS</v>
          </cell>
          <cell r="B76">
            <v>9924126849.6599998</v>
          </cell>
          <cell r="C76">
            <v>36111150</v>
          </cell>
          <cell r="D76">
            <v>0.36387231387753943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workbookViewId="0">
      <selection activeCell="L4" sqref="L4"/>
    </sheetView>
  </sheetViews>
  <sheetFormatPr defaultRowHeight="14.5" x14ac:dyDescent="0.35"/>
  <cols>
    <col min="2" max="2" width="19.1796875" customWidth="1"/>
    <col min="3" max="3" width="33.26953125" customWidth="1"/>
    <col min="4" max="4" width="17.54296875" customWidth="1"/>
    <col min="9" max="9" width="11.81640625" bestFit="1" customWidth="1"/>
  </cols>
  <sheetData>
    <row r="1" spans="1:10" x14ac:dyDescent="0.35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80</v>
      </c>
      <c r="J1" t="s">
        <v>81</v>
      </c>
    </row>
    <row r="2" spans="1:10" x14ac:dyDescent="0.35">
      <c r="A2">
        <v>1</v>
      </c>
      <c r="B2" s="2" t="s">
        <v>11</v>
      </c>
      <c r="C2" t="str">
        <f>VLOOKUP(B2,[1]Sheet1!$A$5:$L$76,7,FALSE)</f>
        <v>59A. C.W.W.Kannangara Mawatha</v>
      </c>
      <c r="D2" t="str">
        <f>VLOOKUP(B2,[1]Sheet1!$A$5:$L$76,8,FALSE)</f>
        <v>Alexandra Place, Colombo 7</v>
      </c>
      <c r="E2">
        <f>VLOOKUP(B2,[1]Sheet1!$A$5:$L$76,9,FALSE)</f>
        <v>700</v>
      </c>
      <c r="F2" t="str">
        <f>VLOOKUP(B2,[1]Sheet1!$A$5:$L$76,10,FALSE)</f>
        <v>071 535 6583</v>
      </c>
      <c r="G2" t="str">
        <f>VLOOKUP(B2,[1]Sheet1!$A$5:$L$76,11,FALSE)</f>
        <v xml:space="preserve">6.913840867955761, </v>
      </c>
      <c r="H2">
        <f>VLOOKUP(B2,[1]Sheet1!$A$5:$L$76,12,FALSE)</f>
        <v>79.866852660000006</v>
      </c>
      <c r="I2">
        <f>VLOOKUP(B2,[1]Sheet1!$A$5:$L$76,2,FALSE)</f>
        <v>153074920.55000001</v>
      </c>
      <c r="J2" s="1">
        <f>VLOOKUP(B2,[1]Sheet1!$A$5:$E$76,3,FALSE)</f>
        <v>244110</v>
      </c>
    </row>
    <row r="3" spans="1:10" x14ac:dyDescent="0.35">
      <c r="A3">
        <v>2</v>
      </c>
      <c r="B3" s="2" t="s">
        <v>12</v>
      </c>
      <c r="C3" t="str">
        <f>VLOOKUP(B3,[1]Sheet1!$A$5:$L$76,7,FALSE)</f>
        <v>48, Abdul Hameed Mawatha</v>
      </c>
      <c r="D3" t="str">
        <f>VLOOKUP(B3,[1]Sheet1!$A$5:$L$76,8,FALSE)</f>
        <v>Colombo 12</v>
      </c>
      <c r="E3">
        <f>VLOOKUP(B3,[1]Sheet1!$A$5:$L$76,9,FALSE)</f>
        <v>1200</v>
      </c>
      <c r="F3" t="str">
        <f>VLOOKUP(B3,[1]Sheet1!$A$5:$L$76,10,FALSE)</f>
        <v>070 598 2711</v>
      </c>
      <c r="G3" t="str">
        <f>VLOOKUP(B3,[1]Sheet1!$A$5:$L$76,11,FALSE)</f>
        <v>6.939227216734877,</v>
      </c>
      <c r="H3">
        <f>VLOOKUP(B3,[1]Sheet1!$A$5:$L$76,12,FALSE)</f>
        <v>79.865560720000005</v>
      </c>
      <c r="I3">
        <f>VLOOKUP(B3,[1]Sheet1!$A$5:$L$76,2,FALSE)</f>
        <v>80605748.299999997</v>
      </c>
      <c r="J3" s="1">
        <f>VLOOKUP(B3,[1]Sheet1!$A$5:$E$76,3,FALSE)</f>
        <v>765210</v>
      </c>
    </row>
    <row r="4" spans="1:10" x14ac:dyDescent="0.35">
      <c r="A4">
        <v>3</v>
      </c>
      <c r="B4" s="2" t="s">
        <v>13</v>
      </c>
      <c r="C4" t="str">
        <f>VLOOKUP(B4,[1]Sheet1!$A$5:$L$76,7,FALSE)</f>
        <v xml:space="preserve">No 189, MAIN ROAD, ATHTHIDIYA, DEHIWALA. </v>
      </c>
      <c r="D4" t="s">
        <v>79</v>
      </c>
      <c r="E4">
        <f>VLOOKUP(B4,[1]Sheet1!$A$5:$L$76,9,FALSE)</f>
        <v>0</v>
      </c>
      <c r="F4">
        <f>VLOOKUP(B4,[1]Sheet1!$A$5:$L$76,10,FALSE)</f>
        <v>0</v>
      </c>
      <c r="G4">
        <f>VLOOKUP(B4,[1]Sheet1!$A$5:$L$76,11,FALSE)</f>
        <v>0</v>
      </c>
      <c r="H4">
        <f>VLOOKUP(B4,[1]Sheet1!$A$5:$L$76,12,FALSE)</f>
        <v>0</v>
      </c>
      <c r="I4">
        <f>VLOOKUP(B4,[1]Sheet1!$A$5:$L$76,2,FALSE)</f>
        <v>118226998</v>
      </c>
      <c r="J4" s="1">
        <f>VLOOKUP(B4,[1]Sheet1!$A$5:$E$76,3,FALSE)</f>
        <v>486190</v>
      </c>
    </row>
    <row r="5" spans="1:10" x14ac:dyDescent="0.35">
      <c r="A5">
        <v>4</v>
      </c>
      <c r="B5" s="2" t="s">
        <v>14</v>
      </c>
      <c r="C5" t="str">
        <f>VLOOKUP(B5,[1]Sheet1!$A$5:$L$76,7,FALSE)</f>
        <v>204 Colombo - Galle Main Road</v>
      </c>
      <c r="D5" t="str">
        <f>VLOOKUP(B5,[1]Sheet1!$A$5:$L$76,8,FALSE)</f>
        <v>Colombo 4</v>
      </c>
      <c r="E5">
        <f>VLOOKUP(B5,[1]Sheet1!$A$5:$L$76,9,FALSE)</f>
        <v>400</v>
      </c>
      <c r="F5" t="str">
        <f>VLOOKUP(B5,[1]Sheet1!$A$5:$L$76,10,FALSE)</f>
        <v>071 535 6577</v>
      </c>
      <c r="G5" t="str">
        <f>VLOOKUP(B5,[1]Sheet1!$A$5:$L$76,11,FALSE)</f>
        <v>6.888131670165178,</v>
      </c>
      <c r="H5">
        <f>VLOOKUP(B5,[1]Sheet1!$A$5:$L$76,12,FALSE)</f>
        <v>79.858542459999995</v>
      </c>
      <c r="I5">
        <f>VLOOKUP(B5,[1]Sheet1!$A$5:$L$76,2,FALSE)</f>
        <v>245763255.65000001</v>
      </c>
      <c r="J5" s="1">
        <f>VLOOKUP(B5,[1]Sheet1!$A$5:$E$76,3,FALSE)</f>
        <v>568140</v>
      </c>
    </row>
    <row r="6" spans="1:10" x14ac:dyDescent="0.35">
      <c r="A6">
        <v>5</v>
      </c>
      <c r="B6" s="2" t="s">
        <v>15</v>
      </c>
      <c r="C6" t="str">
        <f>VLOOKUP(B6,[1]Sheet1!$A$5:$L$76,7,FALSE)</f>
        <v xml:space="preserve">No 175/18, Main Street,, Battaramulla </v>
      </c>
      <c r="D6" t="str">
        <f>VLOOKUP(B6,[1]Sheet1!$A$5:$L$76,8,FALSE)</f>
        <v xml:space="preserve">Battalamulla </v>
      </c>
      <c r="E6">
        <f>VLOOKUP(B6,[1]Sheet1!$A$5:$L$76,9,FALSE)</f>
        <v>10120</v>
      </c>
      <c r="F6" t="str">
        <f>VLOOKUP(B6,[1]Sheet1!$A$5:$L$76,10,FALSE)</f>
        <v xml:space="preserve"> 070 562 6630</v>
      </c>
      <c r="G6" t="str">
        <f>VLOOKUP(B6,[1]Sheet1!$A$5:$L$76,11,FALSE)</f>
        <v xml:space="preserve">6.901980293374334, </v>
      </c>
      <c r="H6">
        <f>VLOOKUP(B6,[1]Sheet1!$A$5:$L$76,12,FALSE)</f>
        <v>79.915988429999999</v>
      </c>
      <c r="I6">
        <f>VLOOKUP(B6,[1]Sheet1!$A$5:$L$76,2,FALSE)</f>
        <v>126172304</v>
      </c>
      <c r="J6" s="1">
        <f>VLOOKUP(B6,[1]Sheet1!$A$5:$E$76,3,FALSE)</f>
        <v>488080</v>
      </c>
    </row>
    <row r="7" spans="1:10" x14ac:dyDescent="0.35">
      <c r="A7">
        <v>6</v>
      </c>
      <c r="B7" s="2" t="s">
        <v>16</v>
      </c>
      <c r="C7" t="str">
        <f>VLOOKUP(B7,[1]Sheet1!$A$5:$L$76,7,FALSE)</f>
        <v>686, Bloemendhal Road</v>
      </c>
      <c r="D7" t="str">
        <f>VLOOKUP(B7,[1]Sheet1!$A$5:$L$76,8,FALSE)</f>
        <v>Modara, Colombo 15</v>
      </c>
      <c r="E7">
        <f>VLOOKUP(B7,[1]Sheet1!$A$5:$L$76,9,FALSE)</f>
        <v>1500</v>
      </c>
      <c r="F7" t="str">
        <f>VLOOKUP(B7,[1]Sheet1!$A$5:$L$76,10,FALSE)</f>
        <v>071 223 1362</v>
      </c>
      <c r="G7" t="str">
        <f>VLOOKUP(B7,[1]Sheet1!$A$5:$L$76,11,FALSE)</f>
        <v xml:space="preserve">6.962037284672595, </v>
      </c>
      <c r="H7">
        <f>VLOOKUP(B7,[1]Sheet1!$A$5:$L$76,12,FALSE)</f>
        <v>79.870228990000001</v>
      </c>
      <c r="I7">
        <f>VLOOKUP(B7,[1]Sheet1!$A$5:$L$76,2,FALSE)</f>
        <v>128883859.55</v>
      </c>
      <c r="J7" s="1">
        <f>VLOOKUP(B7,[1]Sheet1!$A$5:$E$76,3,FALSE)</f>
        <v>533490</v>
      </c>
    </row>
    <row r="8" spans="1:10" x14ac:dyDescent="0.35">
      <c r="A8">
        <v>7</v>
      </c>
      <c r="B8" s="2" t="s">
        <v>17</v>
      </c>
      <c r="C8" t="str">
        <f>VLOOKUP(B8,[1]Sheet1!$A$5:$L$76,7,FALSE)</f>
        <v>NO 32/1, COLOMBO ROAD, KATUWAWALA, BORALASGAMUWA.</v>
      </c>
      <c r="D8" t="str">
        <f>VLOOKUP(B8,[1]Sheet1!$A$5:$L$76,8,FALSE)</f>
        <v>Katuwala</v>
      </c>
      <c r="E8">
        <f>VLOOKUP(B8,[1]Sheet1!$A$5:$L$76,9,FALSE)</f>
        <v>10290</v>
      </c>
      <c r="F8" t="str">
        <f>VLOOKUP(B8,[1]Sheet1!$A$5:$L$76,10,FALSE)</f>
        <v xml:space="preserve"> 070 715 0777</v>
      </c>
      <c r="G8" t="str">
        <f>VLOOKUP(B8,[1]Sheet1!$A$5:$L$76,11,FALSE)</f>
        <v xml:space="preserve">6.826482706935568, </v>
      </c>
      <c r="H8">
        <f>VLOOKUP(B8,[1]Sheet1!$A$5:$L$76,12,FALSE)</f>
        <v>79.913370299999997</v>
      </c>
      <c r="I8">
        <f>VLOOKUP(B8,[1]Sheet1!$A$5:$L$76,2,FALSE)</f>
        <v>76904636.5</v>
      </c>
      <c r="J8" s="1">
        <f>VLOOKUP(B8,[1]Sheet1!$A$5:$E$76,3,FALSE)</f>
        <v>312320</v>
      </c>
    </row>
    <row r="9" spans="1:10" x14ac:dyDescent="0.35">
      <c r="A9">
        <v>8</v>
      </c>
      <c r="B9" s="2" t="s">
        <v>18</v>
      </c>
      <c r="C9" t="str">
        <f>VLOOKUP(B9,[1]Sheet1!$A$5:$L$76,7,FALSE)</f>
        <v>1121 Maradana Road</v>
      </c>
      <c r="D9" t="str">
        <f>VLOOKUP(B9,[1]Sheet1!$A$5:$L$76,8,FALSE)</f>
        <v>Colombo 08</v>
      </c>
      <c r="E9">
        <f>VLOOKUP(B9,[1]Sheet1!$A$5:$L$76,9,FALSE)</f>
        <v>800</v>
      </c>
      <c r="F9" t="str">
        <f>VLOOKUP(B9,[1]Sheet1!$A$5:$L$76,10,FALSE)</f>
        <v>071 535 6581</v>
      </c>
      <c r="G9" t="str">
        <f>VLOOKUP(B9,[1]Sheet1!$A$5:$L$76,11,FALSE)</f>
        <v>6.91684622567716,</v>
      </c>
      <c r="H9">
        <f>VLOOKUP(B9,[1]Sheet1!$A$5:$L$76,12,FALSE)</f>
        <v>79.875986269999999</v>
      </c>
      <c r="I9">
        <f>VLOOKUP(B9,[1]Sheet1!$A$5:$L$76,2,FALSE)</f>
        <v>242081165.56999999</v>
      </c>
      <c r="J9" s="1">
        <f>VLOOKUP(B9,[1]Sheet1!$A$5:$E$76,3,FALSE)</f>
        <v>1029950</v>
      </c>
    </row>
    <row r="10" spans="1:10" x14ac:dyDescent="0.35">
      <c r="A10">
        <v>9</v>
      </c>
      <c r="B10" s="2" t="s">
        <v>19</v>
      </c>
      <c r="C10" t="str">
        <f>VLOOKUP(B10,[1]Sheet1!$A$5:$L$76,7,FALSE)</f>
        <v>221 Castle Street</v>
      </c>
      <c r="D10" t="str">
        <f>VLOOKUP(B10,[1]Sheet1!$A$5:$L$76,8,FALSE)</f>
        <v>Colombo 08</v>
      </c>
      <c r="E10">
        <f>VLOOKUP(B10,[1]Sheet1!$A$5:$L$76,9,FALSE)</f>
        <v>800</v>
      </c>
      <c r="F10" t="str">
        <f>VLOOKUP(B10,[1]Sheet1!$A$5:$L$76,10,FALSE)</f>
        <v>071 869 8649</v>
      </c>
      <c r="G10" t="str">
        <f>VLOOKUP(B10,[1]Sheet1!$A$5:$L$76,11,FALSE)</f>
        <v>6.911532536789864,</v>
      </c>
      <c r="H10">
        <f>VLOOKUP(B10,[1]Sheet1!$A$5:$L$76,12,FALSE)</f>
        <v>79.889395269999994</v>
      </c>
      <c r="I10">
        <f>VLOOKUP(B10,[1]Sheet1!$A$5:$L$76,2,FALSE)</f>
        <v>133826482.75</v>
      </c>
      <c r="J10" s="1">
        <f>VLOOKUP(B10,[1]Sheet1!$A$5:$E$76,3,FALSE)</f>
        <v>766900</v>
      </c>
    </row>
    <row r="11" spans="1:10" x14ac:dyDescent="0.35">
      <c r="A11">
        <v>10</v>
      </c>
      <c r="B11" s="2" t="s">
        <v>20</v>
      </c>
      <c r="C11" t="str">
        <f>VLOOKUP(B11,[1]Sheet1!$A$5:$L$76,7,FALSE)</f>
        <v>No. 111,Chatham Street</v>
      </c>
      <c r="D11" t="str">
        <f>VLOOKUP(B11,[1]Sheet1!$A$5:$L$76,8,FALSE)</f>
        <v>Colombo 01</v>
      </c>
      <c r="E11">
        <f>VLOOKUP(B11,[1]Sheet1!$A$5:$L$76,9,FALSE)</f>
        <v>100</v>
      </c>
      <c r="F11" t="str">
        <f>VLOOKUP(B11,[1]Sheet1!$A$5:$L$76,10,FALSE)</f>
        <v>070 522 4211</v>
      </c>
      <c r="G11" t="str">
        <f>VLOOKUP(B11,[1]Sheet1!$A$5:$L$76,11,FALSE)</f>
        <v xml:space="preserve">6.9354496307694316, </v>
      </c>
      <c r="H11">
        <f>VLOOKUP(B11,[1]Sheet1!$A$5:$L$76,12,FALSE)</f>
        <v>79.846614779999996</v>
      </c>
      <c r="I11">
        <f>VLOOKUP(B11,[1]Sheet1!$A$5:$L$76,2,FALSE)</f>
        <v>218197117.02000001</v>
      </c>
      <c r="J11" s="1">
        <f>VLOOKUP(B11,[1]Sheet1!$A$5:$E$76,3,FALSE)</f>
        <v>203750</v>
      </c>
    </row>
    <row r="12" spans="1:10" x14ac:dyDescent="0.35">
      <c r="A12">
        <v>11</v>
      </c>
      <c r="B12" s="2" t="s">
        <v>21</v>
      </c>
      <c r="C12" t="str">
        <f>VLOOKUP(B12,[1]Sheet1!$A$5:$L$76,7,FALSE)</f>
        <v>No. 46, Kandy Road, Dalugama</v>
      </c>
      <c r="D12" t="str">
        <f>VLOOKUP(B12,[1]Sheet1!$A$5:$L$76,8,FALSE)</f>
        <v>Kelaniya</v>
      </c>
      <c r="E12">
        <f>VLOOKUP(B12,[1]Sheet1!$A$5:$L$76,9,FALSE)</f>
        <v>11300</v>
      </c>
      <c r="F12" t="str">
        <f>VLOOKUP(B12,[1]Sheet1!$A$5:$L$76,10,FALSE)</f>
        <v>070 598 2719</v>
      </c>
      <c r="G12" t="str">
        <f>VLOOKUP(B12,[1]Sheet1!$A$5:$L$76,11,FALSE)</f>
        <v xml:space="preserve">6.971922560157907, </v>
      </c>
      <c r="H12">
        <f>VLOOKUP(B12,[1]Sheet1!$A$5:$L$76,12,FALSE)</f>
        <v>79.918361640000001</v>
      </c>
      <c r="I12">
        <f>VLOOKUP(B12,[1]Sheet1!$A$5:$L$76,2,FALSE)</f>
        <v>135846582.65000001</v>
      </c>
      <c r="J12" s="1">
        <f>VLOOKUP(B12,[1]Sheet1!$A$5:$E$76,3,FALSE)</f>
        <v>188560</v>
      </c>
    </row>
    <row r="13" spans="1:10" x14ac:dyDescent="0.35">
      <c r="A13">
        <v>12</v>
      </c>
      <c r="B13" s="2" t="s">
        <v>22</v>
      </c>
      <c r="C13" t="str">
        <f>VLOOKUP(B13,[1]Sheet1!$A$5:$L$76,7,FALSE)</f>
        <v>No. 314 Ven Baddegama Wimalawansa Mawatha</v>
      </c>
      <c r="D13" t="str">
        <f>VLOOKUP(B13,[1]Sheet1!$A$5:$L$76,8,FALSE)</f>
        <v>Colombo 15</v>
      </c>
      <c r="E13">
        <f>VLOOKUP(B13,[1]Sheet1!$A$5:$L$76,9,FALSE)</f>
        <v>1500</v>
      </c>
      <c r="F13" t="str">
        <f>VLOOKUP(B13,[1]Sheet1!$A$5:$L$76,10,FALSE)</f>
        <v>071 126 6730</v>
      </c>
      <c r="G13" t="str">
        <f>VLOOKUP(B13,[1]Sheet1!$A$5:$L$76,11,FALSE)</f>
        <v xml:space="preserve">6.922073119104552, </v>
      </c>
      <c r="H13">
        <f>VLOOKUP(B13,[1]Sheet1!$A$5:$L$76,12,FALSE)</f>
        <v>79.863966640000001</v>
      </c>
      <c r="I13">
        <f>VLOOKUP(B13,[1]Sheet1!$A$5:$L$76,2,FALSE)</f>
        <v>215305517.25999999</v>
      </c>
      <c r="J13" s="1">
        <f>VLOOKUP(B13,[1]Sheet1!$A$5:$E$76,3,FALSE)</f>
        <v>750790</v>
      </c>
    </row>
    <row r="14" spans="1:10" x14ac:dyDescent="0.35">
      <c r="A14">
        <v>13</v>
      </c>
      <c r="B14" s="2" t="s">
        <v>23</v>
      </c>
      <c r="C14" t="str">
        <f>VLOOKUP(B14,[1]Sheet1!$A$5:$L$76,7,FALSE)</f>
        <v>No. 08, Station Road,</v>
      </c>
      <c r="D14" t="str">
        <f>VLOOKUP(B14,[1]Sheet1!$A$5:$L$76,8,FALSE)</f>
        <v>Dehiwala</v>
      </c>
      <c r="E14">
        <f>VLOOKUP(B14,[1]Sheet1!$A$5:$L$76,9,FALSE)</f>
        <v>10350</v>
      </c>
      <c r="F14" t="str">
        <f>VLOOKUP(B14,[1]Sheet1!$A$5:$L$76,10,FALSE)</f>
        <v>071 535 6552</v>
      </c>
      <c r="G14" t="str">
        <f>VLOOKUP(B14,[1]Sheet1!$A$5:$L$76,11,FALSE)</f>
        <v>6.8518327930453795,</v>
      </c>
      <c r="H14">
        <f>VLOOKUP(B14,[1]Sheet1!$A$5:$L$76,12,FALSE)</f>
        <v>79.867272790000001</v>
      </c>
      <c r="I14">
        <f>VLOOKUP(B14,[1]Sheet1!$A$5:$L$76,2,FALSE)</f>
        <v>100723198.5</v>
      </c>
      <c r="J14" s="1">
        <f>VLOOKUP(B14,[1]Sheet1!$A$5:$E$76,3,FALSE)</f>
        <v>649010</v>
      </c>
    </row>
    <row r="15" spans="1:10" x14ac:dyDescent="0.35">
      <c r="A15">
        <v>14</v>
      </c>
      <c r="B15" s="2" t="s">
        <v>24</v>
      </c>
      <c r="C15" t="str">
        <f>VLOOKUP(B15,[1]Sheet1!$A$5:$L$76,7,FALSE)</f>
        <v>NO 2, DEHIWALA ROAD, MAHARAGAMA.</v>
      </c>
      <c r="D15" t="str">
        <f>VLOOKUP(B15,[1]Sheet1!$A$5:$L$76,8,FALSE)</f>
        <v>MAHARAGAMA DEHIWALA ROAD</v>
      </c>
      <c r="E15">
        <f>VLOOKUP(B15,[1]Sheet1!$A$5:$L$76,9,FALSE)</f>
        <v>10280</v>
      </c>
      <c r="F15">
        <f>VLOOKUP(B15,[1]Sheet1!$A$5:$L$76,10,FALSE)</f>
        <v>702669642</v>
      </c>
      <c r="G15" t="str">
        <f>VLOOKUP(B15,[1]Sheet1!$A$5:$L$76,11,FALSE)</f>
        <v xml:space="preserve">6.846159593244982, </v>
      </c>
      <c r="H15">
        <f>VLOOKUP(B15,[1]Sheet1!$A$5:$L$76,12,FALSE)</f>
        <v>79.926924990000003</v>
      </c>
      <c r="I15">
        <f>VLOOKUP(B15,[1]Sheet1!$A$5:$L$76,2,FALSE)</f>
        <v>18763077</v>
      </c>
      <c r="J15" s="1">
        <f>VLOOKUP(B15,[1]Sheet1!$A$5:$E$76,3,FALSE)</f>
        <v>45900</v>
      </c>
    </row>
    <row r="16" spans="1:10" x14ac:dyDescent="0.35">
      <c r="A16">
        <v>15</v>
      </c>
      <c r="B16" s="2" t="s">
        <v>25</v>
      </c>
      <c r="C16" t="str">
        <f>VLOOKUP(B16,[1]Sheet1!$A$5:$L$76,7,FALSE)</f>
        <v>NO 310/01/01/A, DALUPITIYA ROAD, ENDERAMULLA, WATTALA.</v>
      </c>
      <c r="D16" t="str">
        <f>VLOOKUP(B16,[1]Sheet1!$A$5:$L$76,8,FALSE)</f>
        <v xml:space="preserve">Enderamulla </v>
      </c>
      <c r="E16">
        <f>VLOOKUP(B16,[1]Sheet1!$A$5:$L$76,9,FALSE)</f>
        <v>11300</v>
      </c>
      <c r="F16" t="str">
        <f>VLOOKUP(B16,[1]Sheet1!$A$5:$L$76,10,FALSE)</f>
        <v xml:space="preserve"> 070 557 0118</v>
      </c>
      <c r="G16" t="str">
        <f>VLOOKUP(B16,[1]Sheet1!$A$5:$L$76,11,FALSE)</f>
        <v>6.993967716528625,</v>
      </c>
      <c r="H16">
        <f>VLOOKUP(B16,[1]Sheet1!$A$5:$L$76,12,FALSE)</f>
        <v>79.913965869999998</v>
      </c>
      <c r="I16">
        <f>VLOOKUP(B16,[1]Sheet1!$A$5:$L$76,2,FALSE)</f>
        <v>30026825.899999999</v>
      </c>
      <c r="J16" s="1">
        <f>VLOOKUP(B16,[1]Sheet1!$A$5:$E$76,3,FALSE)</f>
        <v>173250</v>
      </c>
    </row>
    <row r="17" spans="1:10" x14ac:dyDescent="0.35">
      <c r="A17">
        <v>16</v>
      </c>
      <c r="B17" s="2" t="s">
        <v>26</v>
      </c>
      <c r="C17" t="s">
        <v>79</v>
      </c>
      <c r="D17" t="s">
        <v>79</v>
      </c>
      <c r="E17">
        <f>VLOOKUP(B17,[1]Sheet1!$A$5:$L$76,9,FALSE)</f>
        <v>0</v>
      </c>
      <c r="F17">
        <f>VLOOKUP(B17,[1]Sheet1!$A$5:$L$76,10,FALSE)</f>
        <v>0</v>
      </c>
      <c r="G17">
        <f>VLOOKUP(B17,[1]Sheet1!$A$5:$L$76,11,FALSE)</f>
        <v>0</v>
      </c>
      <c r="H17">
        <f>VLOOKUP(B17,[1]Sheet1!$A$5:$L$76,12,FALSE)</f>
        <v>0</v>
      </c>
      <c r="I17">
        <f>VLOOKUP(B17,[1]Sheet1!$A$5:$L$76,2,FALSE)</f>
        <v>8362590.7000000002</v>
      </c>
      <c r="J17" s="1">
        <f>VLOOKUP(B17,[1]Sheet1!$A$5:$E$76,3,FALSE)</f>
        <v>0</v>
      </c>
    </row>
    <row r="18" spans="1:10" x14ac:dyDescent="0.35">
      <c r="A18">
        <v>17</v>
      </c>
      <c r="B18" s="2" t="s">
        <v>27</v>
      </c>
      <c r="C18" t="str">
        <f>VLOOKUP(B18,[1]Sheet1!$A$5:$L$76,7,FALSE)</f>
        <v>No 17/2,Holy cross road</v>
      </c>
      <c r="D18" t="str">
        <f>VLOOKUP(B18,[1]Sheet1!$A$5:$L$76,8,FALSE)</f>
        <v>Gampaha</v>
      </c>
      <c r="E18">
        <f>VLOOKUP(B18,[1]Sheet1!$A$5:$L$76,9,FALSE)</f>
        <v>11000</v>
      </c>
      <c r="F18" t="str">
        <f>VLOOKUP(B18,[1]Sheet1!$A$5:$L$76,10,FALSE)</f>
        <v>070 107 1744</v>
      </c>
      <c r="G18" t="str">
        <f>VLOOKUP(B18,[1]Sheet1!$A$5:$L$76,11,FALSE)</f>
        <v xml:space="preserve">7.094473169206979, </v>
      </c>
      <c r="H18">
        <f>VLOOKUP(B18,[1]Sheet1!$A$5:$L$76,12,FALSE)</f>
        <v>79.995157520000006</v>
      </c>
      <c r="I18">
        <f>VLOOKUP(B18,[1]Sheet1!$A$5:$L$76,2,FALSE)</f>
        <v>275734041.30000001</v>
      </c>
      <c r="J18" s="1">
        <f>VLOOKUP(B18,[1]Sheet1!$A$5:$E$76,3,FALSE)</f>
        <v>598430</v>
      </c>
    </row>
    <row r="19" spans="1:10" x14ac:dyDescent="0.35">
      <c r="A19">
        <v>18</v>
      </c>
      <c r="B19" s="2" t="s">
        <v>28</v>
      </c>
      <c r="C19" t="str">
        <f>VLOOKUP(B19,[1]Sheet1!$A$5:$L$76,7,FALSE)</f>
        <v>No. 54, Buthgamua road</v>
      </c>
      <c r="D19" t="str">
        <f>VLOOKUP(B19,[1]Sheet1!$A$5:$L$76,8,FALSE)</f>
        <v>Gothatuwa</v>
      </c>
      <c r="E19">
        <f>VLOOKUP(B19,[1]Sheet1!$A$5:$L$76,9,FALSE)</f>
        <v>10600</v>
      </c>
      <c r="F19" t="str">
        <f>VLOOKUP(B19,[1]Sheet1!$A$5:$L$76,10,FALSE)</f>
        <v>070 692 1737</v>
      </c>
      <c r="G19" t="str">
        <f>VLOOKUP(B19,[1]Sheet1!$A$5:$L$76,11,FALSE)</f>
        <v xml:space="preserve">6.9254299839487805, </v>
      </c>
      <c r="H19">
        <f>VLOOKUP(B19,[1]Sheet1!$A$5:$L$76,12,FALSE)</f>
        <v>79.916192949999996</v>
      </c>
      <c r="I19">
        <f>VLOOKUP(B19,[1]Sheet1!$A$5:$L$76,2,FALSE)</f>
        <v>157670415</v>
      </c>
      <c r="J19" s="1">
        <f>VLOOKUP(B19,[1]Sheet1!$A$5:$E$76,3,FALSE)</f>
        <v>604470</v>
      </c>
    </row>
    <row r="20" spans="1:10" x14ac:dyDescent="0.35">
      <c r="A20">
        <v>19</v>
      </c>
      <c r="B20" s="2" t="s">
        <v>29</v>
      </c>
      <c r="C20" t="str">
        <f>VLOOKUP(B20,[1]Sheet1!$A$5:$L$76,7,FALSE)</f>
        <v>49A, St. Joseph Street Grandpass road,</v>
      </c>
      <c r="D20" t="str">
        <f>VLOOKUP(B20,[1]Sheet1!$A$5:$L$76,8,FALSE)</f>
        <v xml:space="preserve">Colombo 14 </v>
      </c>
      <c r="E20">
        <f>VLOOKUP(B20,[1]Sheet1!$A$5:$L$76,9,FALSE)</f>
        <v>1400</v>
      </c>
      <c r="F20" t="str">
        <f>VLOOKUP(B20,[1]Sheet1!$A$5:$L$76,10,FALSE)</f>
        <v>071 283 0271</v>
      </c>
      <c r="G20" t="str">
        <f>VLOOKUP(B20,[1]Sheet1!$A$5:$L$76,11,FALSE)</f>
        <v>6.9485749044895595,</v>
      </c>
      <c r="H20">
        <f>VLOOKUP(B20,[1]Sheet1!$A$5:$L$76,12,FALSE)</f>
        <v>79.874557969999998</v>
      </c>
      <c r="I20">
        <f>VLOOKUP(B20,[1]Sheet1!$A$5:$L$76,2,FALSE)</f>
        <v>146974597.5</v>
      </c>
      <c r="J20" s="1">
        <f>VLOOKUP(B20,[1]Sheet1!$A$5:$E$76,3,FALSE)</f>
        <v>459480</v>
      </c>
    </row>
    <row r="21" spans="1:10" x14ac:dyDescent="0.35">
      <c r="A21">
        <v>20</v>
      </c>
      <c r="B21" s="2" t="s">
        <v>30</v>
      </c>
      <c r="C21" t="str">
        <f>VLOOKUP(B21,[1]Sheet1!$A$5:$L$76,7,FALSE)</f>
        <v>105D, Old Galle road, Henamulla</v>
      </c>
      <c r="D21" t="str">
        <f>VLOOKUP(B21,[1]Sheet1!$A$5:$L$76,8,FALSE)</f>
        <v>Panadura</v>
      </c>
      <c r="E21">
        <f>VLOOKUP(B21,[1]Sheet1!$A$5:$L$76,9,FALSE)</f>
        <v>12500</v>
      </c>
      <c r="F21" t="str">
        <f>VLOOKUP(B21,[1]Sheet1!$A$5:$L$76,10,FALSE)</f>
        <v>070 698 1291</v>
      </c>
      <c r="G21" t="str">
        <f>VLOOKUP(B21,[1]Sheet1!$A$5:$L$76,11,FALSE)</f>
        <v xml:space="preserve">6.7473370720070625, </v>
      </c>
      <c r="H21">
        <f>VLOOKUP(B21,[1]Sheet1!$A$5:$L$76,12,FALSE)</f>
        <v>79.903663750000007</v>
      </c>
      <c r="I21">
        <f>VLOOKUP(B21,[1]Sheet1!$A$5:$L$76,2,FALSE)</f>
        <v>97836471.5</v>
      </c>
      <c r="J21" s="1">
        <f>VLOOKUP(B21,[1]Sheet1!$A$5:$E$76,3,FALSE)</f>
        <v>469600</v>
      </c>
    </row>
    <row r="22" spans="1:10" x14ac:dyDescent="0.35">
      <c r="A22">
        <v>21</v>
      </c>
      <c r="B22" s="2" t="s">
        <v>31</v>
      </c>
      <c r="C22" t="str">
        <f>VLOOKUP(B22,[1]Sheet1!$A$5:$L$76,7,FALSE)</f>
        <v>No. 320 A, Hendala</v>
      </c>
      <c r="D22" t="str">
        <f>VLOOKUP(B22,[1]Sheet1!$A$5:$L$76,8,FALSE)</f>
        <v>Wattala</v>
      </c>
      <c r="E22">
        <f>VLOOKUP(B22,[1]Sheet1!$A$5:$L$76,9,FALSE)</f>
        <v>11300</v>
      </c>
      <c r="F22" t="str">
        <f>VLOOKUP(B22,[1]Sheet1!$A$5:$L$76,10,FALSE)</f>
        <v>071 869 8650</v>
      </c>
      <c r="G22" t="str">
        <f>VLOOKUP(B22,[1]Sheet1!$A$5:$L$76,11,FALSE)</f>
        <v>6.99691505548928,</v>
      </c>
      <c r="H22">
        <f>VLOOKUP(B22,[1]Sheet1!$A$5:$L$76,12,FALSE)</f>
        <v>79.892927959999994</v>
      </c>
      <c r="I22">
        <f>VLOOKUP(B22,[1]Sheet1!$A$5:$L$76,2,FALSE)</f>
        <v>108526711.5</v>
      </c>
      <c r="J22" s="1">
        <f>VLOOKUP(B22,[1]Sheet1!$A$5:$E$76,3,FALSE)</f>
        <v>378720</v>
      </c>
    </row>
    <row r="23" spans="1:10" x14ac:dyDescent="0.35">
      <c r="A23">
        <v>22</v>
      </c>
      <c r="B23" s="2" t="s">
        <v>32</v>
      </c>
      <c r="C23" t="str">
        <f>VLOOKUP(B23,[1]Sheet1!$A$5:$L$76,7,FALSE)</f>
        <v>222, HILL STREET, DEHIWALA</v>
      </c>
      <c r="D23" t="str">
        <f>VLOOKUP(B23,[1]Sheet1!$A$5:$L$76,8,FALSE)</f>
        <v>Dehiwala</v>
      </c>
      <c r="E23">
        <f>VLOOKUP(B23,[1]Sheet1!$A$5:$L$76,9,FALSE)</f>
        <v>10350</v>
      </c>
      <c r="F23" t="str">
        <f>VLOOKUP(B23,[1]Sheet1!$A$5:$L$76,10,FALSE)</f>
        <v>070 329 8446</v>
      </c>
      <c r="G23" t="str">
        <f>VLOOKUP(B23,[1]Sheet1!$A$5:$L$76,11,FALSE)</f>
        <v xml:space="preserve">6.849846139660861, </v>
      </c>
      <c r="H23">
        <f>VLOOKUP(B23,[1]Sheet1!$A$5:$L$76,12,FALSE)</f>
        <v>79.874673009999995</v>
      </c>
      <c r="I23">
        <f>VLOOKUP(B23,[1]Sheet1!$A$5:$L$76,2,FALSE)</f>
        <v>62941274</v>
      </c>
      <c r="J23" s="1">
        <f>VLOOKUP(B23,[1]Sheet1!$A$5:$E$76,3,FALSE)</f>
        <v>217200</v>
      </c>
    </row>
    <row r="24" spans="1:10" x14ac:dyDescent="0.35">
      <c r="A24">
        <v>23</v>
      </c>
      <c r="B24" s="2" t="s">
        <v>33</v>
      </c>
      <c r="C24" t="str">
        <f>VLOOKUP(B24,[1]Sheet1!$A$5:$L$76,7,FALSE)</f>
        <v>No 31,Old Negombo Road,Kanuwana</v>
      </c>
      <c r="D24" t="str">
        <f>VLOOKUP(B24,[1]Sheet1!$A$5:$L$76,8,FALSE)</f>
        <v>Ja Ela</v>
      </c>
      <c r="E24">
        <f>VLOOKUP(B24,[1]Sheet1!$A$5:$L$76,9,FALSE)</f>
        <v>11350</v>
      </c>
      <c r="F24" t="str">
        <f>VLOOKUP(B24,[1]Sheet1!$A$5:$L$76,10,FALSE)</f>
        <v>070 459 3055</v>
      </c>
      <c r="G24" t="str">
        <f>VLOOKUP(B24,[1]Sheet1!$A$5:$L$76,11,FALSE)</f>
        <v xml:space="preserve">6.981962146999559, </v>
      </c>
      <c r="H24">
        <f>VLOOKUP(B24,[1]Sheet1!$A$5:$L$76,12,FALSE)</f>
        <v>79.889431299999998</v>
      </c>
      <c r="I24">
        <f>VLOOKUP(B24,[1]Sheet1!$A$5:$L$76,2,FALSE)</f>
        <v>175195902.5</v>
      </c>
      <c r="J24" s="1">
        <f>VLOOKUP(B24,[1]Sheet1!$A$5:$E$76,3,FALSE)</f>
        <v>748230</v>
      </c>
    </row>
    <row r="25" spans="1:10" x14ac:dyDescent="0.35">
      <c r="A25">
        <v>24</v>
      </c>
      <c r="B25" s="2" t="s">
        <v>34</v>
      </c>
      <c r="C25" t="str">
        <f>VLOOKUP(B25,[1]Sheet1!$A$5:$L$76,7,FALSE)</f>
        <v>272 Kandy Rd, Kelaniya</v>
      </c>
      <c r="D25" t="str">
        <f>VLOOKUP(B25,[1]Sheet1!$A$5:$L$76,8,FALSE)</f>
        <v xml:space="preserve">Jude Place </v>
      </c>
      <c r="E25">
        <f>VLOOKUP(B25,[1]Sheet1!$A$5:$L$76,9,FALSE)</f>
        <v>11300</v>
      </c>
      <c r="F25" t="str">
        <f>VLOOKUP(B25,[1]Sheet1!$A$5:$L$76,10,FALSE)</f>
        <v>070 436 8930</v>
      </c>
      <c r="G25" t="str">
        <f>VLOOKUP(B25,[1]Sheet1!$A$5:$L$76,11,FALSE)</f>
        <v xml:space="preserve">6.973930766636542, </v>
      </c>
      <c r="H25">
        <f>VLOOKUP(B25,[1]Sheet1!$A$5:$L$76,12,FALSE)</f>
        <v>79.921763630000001</v>
      </c>
      <c r="I25">
        <f>VLOOKUP(B25,[1]Sheet1!$A$5:$L$76,2,FALSE)</f>
        <v>109312019.7</v>
      </c>
      <c r="J25" s="1">
        <f>VLOOKUP(B25,[1]Sheet1!$A$5:$E$76,3,FALSE)</f>
        <v>344620</v>
      </c>
    </row>
    <row r="26" spans="1:10" x14ac:dyDescent="0.35">
      <c r="A26">
        <v>25</v>
      </c>
      <c r="B26" s="2" t="s">
        <v>35</v>
      </c>
      <c r="C26" t="str">
        <f>VLOOKUP(B26,[1]Sheet1!$A$5:$L$76,7,FALSE)</f>
        <v>100 Kandy Road</v>
      </c>
      <c r="D26" t="str">
        <f>VLOOKUP(B26,[1]Sheet1!$A$5:$L$76,8,FALSE)</f>
        <v>Kadawatha</v>
      </c>
      <c r="E26">
        <f>VLOOKUP(B26,[1]Sheet1!$A$5:$L$76,9,FALSE)</f>
        <v>11850</v>
      </c>
      <c r="F26" t="str">
        <f>VLOOKUP(B26,[1]Sheet1!$A$5:$L$76,10,FALSE)</f>
        <v>070 609 6382</v>
      </c>
      <c r="G26" t="str">
        <f>VLOOKUP(B26,[1]Sheet1!$A$5:$L$76,11,FALSE)</f>
        <v>7.003996180972006,</v>
      </c>
      <c r="H26">
        <f>VLOOKUP(B26,[1]Sheet1!$A$5:$L$76,12,FALSE)</f>
        <v>79.955530179999997</v>
      </c>
      <c r="I26">
        <f>VLOOKUP(B26,[1]Sheet1!$A$5:$L$76,2,FALSE)</f>
        <v>275560722</v>
      </c>
      <c r="J26" s="1">
        <f>VLOOKUP(B26,[1]Sheet1!$A$5:$E$76,3,FALSE)</f>
        <v>616710</v>
      </c>
    </row>
    <row r="27" spans="1:10" x14ac:dyDescent="0.35">
      <c r="A27">
        <v>26</v>
      </c>
      <c r="B27" s="2" t="s">
        <v>36</v>
      </c>
      <c r="C27" t="str">
        <f>VLOOKUP(B27,[1]Sheet1!$A$5:$L$76,7,FALSE)</f>
        <v xml:space="preserve">NO.42, S. DE S. JAYASINGHE MAWATHA </v>
      </c>
      <c r="D27" t="str">
        <f>VLOOKUP(B27,[1]Sheet1!$A$5:$L$76,8,FALSE)</f>
        <v>Nugegoda</v>
      </c>
      <c r="E27">
        <f>VLOOKUP(B27,[1]Sheet1!$A$5:$L$76,9,FALSE)</f>
        <v>10350</v>
      </c>
      <c r="F27">
        <f>VLOOKUP(B27,[1]Sheet1!$A$5:$L$76,10,FALSE)</f>
        <v>702043121</v>
      </c>
      <c r="G27" t="str">
        <f>VLOOKUP(B27,[1]Sheet1!$A$5:$L$76,11,FALSE)</f>
        <v xml:space="preserve">6.866149041075446, </v>
      </c>
      <c r="H27">
        <f>VLOOKUP(B27,[1]Sheet1!$A$5:$L$76,12,FALSE)</f>
        <v>79.878610980000005</v>
      </c>
      <c r="I27">
        <f>VLOOKUP(B27,[1]Sheet1!$A$5:$L$76,2,FALSE)</f>
        <v>107269362.5</v>
      </c>
      <c r="J27" s="1">
        <f>VLOOKUP(B27,[1]Sheet1!$A$5:$E$76,3,FALSE)</f>
        <v>445890</v>
      </c>
    </row>
    <row r="28" spans="1:10" x14ac:dyDescent="0.35">
      <c r="A28">
        <v>27</v>
      </c>
      <c r="B28" s="2" t="s">
        <v>8</v>
      </c>
      <c r="C28" t="str">
        <f>VLOOKUP(B28,[1]Sheet1!$A$5:$L$76,7,FALSE)</f>
        <v>NO 106 STATION ROAD</v>
      </c>
      <c r="D28" t="str">
        <f>VLOOKUP(B28,[1]Sheet1!$A$5:$L$76,8,FALSE)</f>
        <v>KANDANA</v>
      </c>
      <c r="E28">
        <f>VLOOKUP(B28,[1]Sheet1!$A$5:$L$76,9,FALSE)</f>
        <v>11320</v>
      </c>
      <c r="F28" t="str">
        <f>VLOOKUP(B28,[1]Sheet1!$A$5:$L$76,10,FALSE)</f>
        <v>070 697 8448</v>
      </c>
      <c r="G28" t="str">
        <f>VLOOKUP(B28,[1]Sheet1!$A$5:$L$76,11,FALSE)</f>
        <v xml:space="preserve">7.048655752069119, </v>
      </c>
      <c r="H28">
        <f>VLOOKUP(B28,[1]Sheet1!$A$5:$L$76,12,FALSE)</f>
        <v>79.899443660000003</v>
      </c>
      <c r="I28">
        <f>VLOOKUP(B28,[1]Sheet1!$A$5:$L$76,2,FALSE)</f>
        <v>124421615.75</v>
      </c>
      <c r="J28" s="1">
        <f>VLOOKUP(B28,[1]Sheet1!$A$5:$E$76,3,FALSE)</f>
        <v>813650</v>
      </c>
    </row>
    <row r="29" spans="1:10" x14ac:dyDescent="0.35">
      <c r="A29">
        <v>28</v>
      </c>
      <c r="B29" s="2" t="s">
        <v>37</v>
      </c>
      <c r="C29" t="str">
        <f>VLOOKUP(B29,[1]Sheet1!$A$5:$L$76,7,FALSE)</f>
        <v xml:space="preserve">NO 35A, KANDY ROAD, KIRIBATHGODA </v>
      </c>
      <c r="D29" t="str">
        <f>VLOOKUP(B29,[1]Sheet1!$A$5:$L$76,8,FALSE)</f>
        <v xml:space="preserve">Kiribathgoda </v>
      </c>
      <c r="E29">
        <f>VLOOKUP(B29,[1]Sheet1!$A$5:$L$76,9,FALSE)</f>
        <v>11600</v>
      </c>
      <c r="F29" t="str">
        <f>VLOOKUP(B29,[1]Sheet1!$A$5:$L$76,10,FALSE)</f>
        <v>070 519 4062</v>
      </c>
      <c r="G29" t="str">
        <f>VLOOKUP(B29,[1]Sheet1!$A$5:$L$76,11,FALSE)</f>
        <v xml:space="preserve">6.97648937050954, </v>
      </c>
      <c r="H29">
        <f>VLOOKUP(B29,[1]Sheet1!$A$5:$L$76,12,FALSE)</f>
        <v>79.926167109999994</v>
      </c>
      <c r="I29">
        <f>VLOOKUP(B29,[1]Sheet1!$A$5:$L$76,2,FALSE)</f>
        <v>34726002</v>
      </c>
      <c r="J29" s="1">
        <f>VLOOKUP(B29,[1]Sheet1!$A$5:$E$76,3,FALSE)</f>
        <v>201280</v>
      </c>
    </row>
    <row r="30" spans="1:10" x14ac:dyDescent="0.35">
      <c r="A30">
        <v>29</v>
      </c>
      <c r="B30" s="2" t="s">
        <v>38</v>
      </c>
      <c r="C30" t="str">
        <f>VLOOKUP(B30,[1]Sheet1!$A$5:$L$76,7,FALSE)</f>
        <v>32/A, Colombo Road</v>
      </c>
      <c r="D30" t="str">
        <f>VLOOKUP(B30,[1]Sheet1!$A$5:$L$76,8,FALSE)</f>
        <v>Kurana, Katunayake</v>
      </c>
      <c r="E30">
        <f>VLOOKUP(B30,[1]Sheet1!$A$5:$L$76,9,FALSE)</f>
        <v>11450</v>
      </c>
      <c r="F30" t="str">
        <f>VLOOKUP(B30,[1]Sheet1!$A$5:$L$76,10,FALSE)</f>
        <v>071 535 6578</v>
      </c>
      <c r="G30" t="str">
        <f>VLOOKUP(B30,[1]Sheet1!$A$5:$L$76,11,FALSE)</f>
        <v xml:space="preserve">7.172384324026182, </v>
      </c>
      <c r="H30">
        <f>VLOOKUP(B30,[1]Sheet1!$A$5:$L$76,12,FALSE)</f>
        <v>79.868130840000006</v>
      </c>
      <c r="I30">
        <f>VLOOKUP(B30,[1]Sheet1!$A$5:$L$76,2,FALSE)</f>
        <v>173150382.59999999</v>
      </c>
      <c r="J30" s="1">
        <f>VLOOKUP(B30,[1]Sheet1!$A$5:$E$76,3,FALSE)</f>
        <v>828070</v>
      </c>
    </row>
    <row r="31" spans="1:10" x14ac:dyDescent="0.35">
      <c r="A31">
        <v>30</v>
      </c>
      <c r="B31" s="2" t="s">
        <v>39</v>
      </c>
      <c r="C31" t="str">
        <f>VLOOKUP(B31,[1]Sheet1!$A$5:$L$76,7,FALSE)</f>
        <v>3 Katuwapitiya Road</v>
      </c>
      <c r="D31" t="str">
        <f>VLOOKUP(B31,[1]Sheet1!$A$5:$L$76,8,FALSE)</f>
        <v>Negombo</v>
      </c>
      <c r="E31">
        <f>VLOOKUP(B31,[1]Sheet1!$A$5:$L$76,9,FALSE)</f>
        <v>11500</v>
      </c>
      <c r="F31" t="str">
        <f>VLOOKUP(B31,[1]Sheet1!$A$5:$L$76,10,FALSE)</f>
        <v>070 382 6495</v>
      </c>
      <c r="G31" t="str">
        <f>VLOOKUP(B31,[1]Sheet1!$A$5:$L$76,11,FALSE)</f>
        <v xml:space="preserve">7.21202488091151, </v>
      </c>
      <c r="H31">
        <f>VLOOKUP(B31,[1]Sheet1!$A$5:$L$76,12,FALSE)</f>
        <v>79.860011470000003</v>
      </c>
      <c r="I31">
        <f>VLOOKUP(B31,[1]Sheet1!$A$5:$L$76,2,FALSE)</f>
        <v>120553274.90000001</v>
      </c>
      <c r="J31" s="1">
        <f>VLOOKUP(B31,[1]Sheet1!$A$5:$E$76,3,FALSE)</f>
        <v>904680</v>
      </c>
    </row>
    <row r="32" spans="1:10" x14ac:dyDescent="0.35">
      <c r="A32">
        <v>31</v>
      </c>
      <c r="B32" s="2" t="s">
        <v>40</v>
      </c>
      <c r="C32" t="str">
        <f>VLOOKUP(B32,[1]Sheet1!$A$5:$L$76,7,FALSE)</f>
        <v>79A Vihara Mawatha, Peliyagoda</v>
      </c>
      <c r="D32" t="str">
        <f>VLOOKUP(B32,[1]Sheet1!$A$5:$L$76,8,FALSE)</f>
        <v>Kelaniya</v>
      </c>
      <c r="E32">
        <f>VLOOKUP(B32,[1]Sheet1!$A$5:$L$76,9,FALSE)</f>
        <v>11300</v>
      </c>
      <c r="F32" t="str">
        <f>VLOOKUP(B32,[1]Sheet1!$A$5:$L$76,10,FALSE)</f>
        <v>071 711 4306</v>
      </c>
      <c r="G32" t="str">
        <f>VLOOKUP(B32,[1]Sheet1!$A$5:$L$76,11,FALSE)</f>
        <v>6.953115173447595,</v>
      </c>
      <c r="H32">
        <f>VLOOKUP(B32,[1]Sheet1!$A$5:$L$76,12,FALSE)</f>
        <v>79.917413240000002</v>
      </c>
      <c r="I32">
        <f>VLOOKUP(B32,[1]Sheet1!$A$5:$L$76,2,FALSE)</f>
        <v>160527845</v>
      </c>
      <c r="J32" s="1">
        <f>VLOOKUP(B32,[1]Sheet1!$A$5:$E$76,3,FALSE)</f>
        <v>244460</v>
      </c>
    </row>
    <row r="33" spans="1:10" x14ac:dyDescent="0.35">
      <c r="A33">
        <v>32</v>
      </c>
      <c r="B33" s="2" t="s">
        <v>41</v>
      </c>
      <c r="C33" t="str">
        <f>VLOOKUP(B33,[1]Sheet1!$A$5:$L$76,7,FALSE)</f>
        <v>2/3/M, National Housing Scheme</v>
      </c>
      <c r="D33" t="str">
        <f>VLOOKUP(B33,[1]Sheet1!$A$5:$L$76,8,FALSE)</f>
        <v>Kiribathgoda</v>
      </c>
      <c r="E33">
        <f>VLOOKUP(B33,[1]Sheet1!$A$5:$L$76,9,FALSE)</f>
        <v>11600</v>
      </c>
      <c r="F33" t="str">
        <f>VLOOKUP(B33,[1]Sheet1!$A$5:$L$76,10,FALSE)</f>
        <v>070 691 5924</v>
      </c>
      <c r="G33" t="str">
        <f>VLOOKUP(B33,[1]Sheet1!$A$5:$L$76,11,FALSE)</f>
        <v xml:space="preserve">6.981609842091302, </v>
      </c>
      <c r="H33">
        <f>VLOOKUP(B33,[1]Sheet1!$A$5:$L$76,12,FALSE)</f>
        <v>79.930459540000001</v>
      </c>
      <c r="I33">
        <f>VLOOKUP(B33,[1]Sheet1!$A$5:$L$76,2,FALSE)</f>
        <v>132655030.5</v>
      </c>
      <c r="J33" s="1">
        <f>VLOOKUP(B33,[1]Sheet1!$A$5:$E$76,3,FALSE)</f>
        <v>376360</v>
      </c>
    </row>
    <row r="34" spans="1:10" x14ac:dyDescent="0.35">
      <c r="A34">
        <v>33</v>
      </c>
      <c r="B34" s="2" t="s">
        <v>42</v>
      </c>
      <c r="C34" t="str">
        <f>VLOOKUP(B34,[1]Sheet1!$A$5:$L$76,7,FALSE)</f>
        <v>104 HIGHLEVEL ROAD</v>
      </c>
      <c r="D34" t="str">
        <f>VLOOKUP(B34,[1]Sheet1!$A$5:$L$76,8,FALSE)</f>
        <v>KIRULAPONE</v>
      </c>
      <c r="E34">
        <f>VLOOKUP(B34,[1]Sheet1!$A$5:$L$76,9,FALSE)</f>
        <v>600</v>
      </c>
      <c r="F34" t="str">
        <f>VLOOKUP(B34,[1]Sheet1!$A$5:$L$76,10,FALSE)</f>
        <v>070 611 6279</v>
      </c>
      <c r="G34" t="str">
        <f>VLOOKUP(B34,[1]Sheet1!$A$5:$L$76,11,FALSE)</f>
        <v xml:space="preserve">6.878880425912368, </v>
      </c>
      <c r="H34">
        <f>VLOOKUP(B34,[1]Sheet1!$A$5:$L$76,12,FALSE)</f>
        <v>79.878595730000001</v>
      </c>
      <c r="I34">
        <f>VLOOKUP(B34,[1]Sheet1!$A$5:$L$76,2,FALSE)</f>
        <v>172382122.69999999</v>
      </c>
      <c r="J34" s="1">
        <f>VLOOKUP(B34,[1]Sheet1!$A$5:$E$76,3,FALSE)</f>
        <v>735920</v>
      </c>
    </row>
    <row r="35" spans="1:10" x14ac:dyDescent="0.35">
      <c r="A35">
        <v>34</v>
      </c>
      <c r="B35" s="2" t="s">
        <v>43</v>
      </c>
      <c r="C35" t="str">
        <f>VLOOKUP(B35,[1]Sheet1!$A$5:$L$76,7,FALSE)</f>
        <v>206B, Kolonnawa Road,</v>
      </c>
      <c r="D35" t="str">
        <f>VLOOKUP(B35,[1]Sheet1!$A$5:$L$76,8,FALSE)</f>
        <v>Kolonnawa</v>
      </c>
      <c r="E35">
        <f>VLOOKUP(B35,[1]Sheet1!$A$5:$L$76,9,FALSE)</f>
        <v>10600</v>
      </c>
      <c r="F35" t="str">
        <f>VLOOKUP(B35,[1]Sheet1!$A$5:$L$76,10,FALSE)</f>
        <v>070 598 2722</v>
      </c>
      <c r="G35" t="str">
        <f>VLOOKUP(B35,[1]Sheet1!$A$5:$L$76,11,FALSE)</f>
        <v xml:space="preserve">6.9330797211206505, </v>
      </c>
      <c r="H35">
        <f>VLOOKUP(B35,[1]Sheet1!$A$5:$L$76,12,FALSE)</f>
        <v>79.89073913</v>
      </c>
      <c r="I35">
        <f>VLOOKUP(B35,[1]Sheet1!$A$5:$L$76,2,FALSE)</f>
        <v>162512192.30000001</v>
      </c>
      <c r="J35" s="1">
        <f>VLOOKUP(B35,[1]Sheet1!$A$5:$E$76,3,FALSE)</f>
        <v>462260</v>
      </c>
    </row>
    <row r="36" spans="1:10" x14ac:dyDescent="0.35">
      <c r="A36">
        <v>35</v>
      </c>
      <c r="B36" s="2" t="s">
        <v>44</v>
      </c>
      <c r="C36" t="str">
        <f>VLOOKUP(B36,[1]Sheet1!$A$5:$L$76,7,FALSE)</f>
        <v>No 118,Jampettah Street</v>
      </c>
      <c r="D36" t="str">
        <f>VLOOKUP(B36,[1]Sheet1!$A$5:$L$76,8,FALSE)</f>
        <v>Colombo 14</v>
      </c>
      <c r="E36">
        <f>VLOOKUP(B36,[1]Sheet1!$A$5:$L$76,9,FALSE)</f>
        <v>1400</v>
      </c>
      <c r="F36" t="str">
        <f>VLOOKUP(B36,[1]Sheet1!$A$5:$L$76,10,FALSE)</f>
        <v>071 869 8648</v>
      </c>
      <c r="G36" t="str">
        <f>VLOOKUP(B36,[1]Sheet1!$A$5:$L$76,11,FALSE)</f>
        <v xml:space="preserve">6.946749505497561, </v>
      </c>
      <c r="H36">
        <f>VLOOKUP(B36,[1]Sheet1!$A$5:$L$76,12,FALSE)</f>
        <v>79.859253199999998</v>
      </c>
      <c r="I36">
        <f>VLOOKUP(B36,[1]Sheet1!$A$5:$L$76,2,FALSE)</f>
        <v>177784561.55000001</v>
      </c>
      <c r="J36" s="1">
        <f>VLOOKUP(B36,[1]Sheet1!$A$5:$E$76,3,FALSE)</f>
        <v>763720</v>
      </c>
    </row>
    <row r="37" spans="1:10" x14ac:dyDescent="0.35">
      <c r="A37">
        <v>36</v>
      </c>
      <c r="B37" s="2" t="s">
        <v>45</v>
      </c>
      <c r="C37" t="str">
        <f>VLOOKUP(B37,[1]Sheet1!$A$5:$L$76,7,FALSE)</f>
        <v>No.275Kuda Buthgamuwa Road</v>
      </c>
      <c r="D37" t="str">
        <f>VLOOKUP(B37,[1]Sheet1!$A$5:$L$76,8,FALSE)</f>
        <v>Kotikawatta</v>
      </c>
      <c r="E37">
        <f>VLOOKUP(B37,[1]Sheet1!$A$5:$L$76,9,FALSE)</f>
        <v>10600</v>
      </c>
      <c r="F37" t="str">
        <f>VLOOKUP(B37,[1]Sheet1!$A$5:$L$76,10,FALSE)</f>
        <v>070 357 0348</v>
      </c>
      <c r="G37" t="str">
        <f>VLOOKUP(B37,[1]Sheet1!$A$5:$L$76,11,FALSE)</f>
        <v xml:space="preserve">6.93636071582328, </v>
      </c>
      <c r="H37">
        <f>VLOOKUP(B37,[1]Sheet1!$A$5:$L$76,12,FALSE)</f>
        <v>79.917650739999999</v>
      </c>
      <c r="I37">
        <f>VLOOKUP(B37,[1]Sheet1!$A$5:$L$76,2,FALSE)</f>
        <v>154773709</v>
      </c>
      <c r="J37" s="1">
        <f>VLOOKUP(B37,[1]Sheet1!$A$5:$E$76,3,FALSE)</f>
        <v>295610</v>
      </c>
    </row>
    <row r="38" spans="1:10" x14ac:dyDescent="0.35">
      <c r="A38">
        <v>37</v>
      </c>
      <c r="B38" s="2" t="s">
        <v>46</v>
      </c>
      <c r="C38" t="str">
        <f>VLOOKUP(B38,[1]Sheet1!$A$5:$L$76,7,FALSE)</f>
        <v>NO. 192/B/3, HORANA ROAD, KOTTAWA</v>
      </c>
      <c r="D38" t="str">
        <f>VLOOKUP(B38,[1]Sheet1!$A$5:$L$76,8,FALSE)</f>
        <v xml:space="preserve">Kottawa </v>
      </c>
      <c r="E38">
        <f>VLOOKUP(B38,[1]Sheet1!$A$5:$L$76,9,FALSE)</f>
        <v>10230</v>
      </c>
      <c r="F38" t="str">
        <f>VLOOKUP(B38,[1]Sheet1!$A$5:$L$76,10,FALSE)</f>
        <v xml:space="preserve"> 070 276 9064</v>
      </c>
      <c r="G38" t="str">
        <f>VLOOKUP(B38,[1]Sheet1!$A$5:$L$76,11,FALSE)</f>
        <v xml:space="preserve">6.835894077653388, </v>
      </c>
      <c r="H38">
        <f>VLOOKUP(B38,[1]Sheet1!$A$5:$L$76,12,FALSE)</f>
        <v>79.965875370000006</v>
      </c>
      <c r="I38">
        <f>VLOOKUP(B38,[1]Sheet1!$A$5:$L$76,2,FALSE)</f>
        <v>81581162.5</v>
      </c>
      <c r="J38" s="1">
        <f>VLOOKUP(B38,[1]Sheet1!$A$5:$E$76,3,FALSE)</f>
        <v>147990</v>
      </c>
    </row>
    <row r="39" spans="1:10" x14ac:dyDescent="0.35">
      <c r="A39">
        <v>38</v>
      </c>
      <c r="B39" s="2" t="s">
        <v>47</v>
      </c>
      <c r="C39" t="str">
        <f>VLOOKUP(B39,[1]Sheet1!$A$5:$L$76,7,FALSE)</f>
        <v>91/1/A, Madapatha road,</v>
      </c>
      <c r="D39" t="str">
        <f>VLOOKUP(B39,[1]Sheet1!$A$5:$L$76,8,FALSE)</f>
        <v>Kolamunna, Piliynadala</v>
      </c>
      <c r="E39">
        <f>VLOOKUP(B39,[1]Sheet1!$A$5:$L$76,9,FALSE)</f>
        <v>10300</v>
      </c>
      <c r="F39" t="str">
        <f>VLOOKUP(B39,[1]Sheet1!$A$5:$L$76,10,FALSE)</f>
        <v>070 696 3571</v>
      </c>
      <c r="G39" t="str">
        <f>VLOOKUP(B39,[1]Sheet1!$A$5:$L$76,11,FALSE)</f>
        <v xml:space="preserve">6.797179295549393, </v>
      </c>
      <c r="H39">
        <f>VLOOKUP(B39,[1]Sheet1!$A$5:$L$76,12,FALSE)</f>
        <v>79.928370540000003</v>
      </c>
      <c r="I39">
        <f>VLOOKUP(B39,[1]Sheet1!$A$5:$L$76,2,FALSE)</f>
        <v>139819070.80000001</v>
      </c>
      <c r="J39" s="1">
        <f>VLOOKUP(B39,[1]Sheet1!$A$5:$E$76,3,FALSE)</f>
        <v>429430</v>
      </c>
    </row>
    <row r="40" spans="1:10" x14ac:dyDescent="0.35">
      <c r="A40">
        <v>39</v>
      </c>
      <c r="B40" s="2" t="s">
        <v>48</v>
      </c>
      <c r="C40" t="str">
        <f>VLOOKUP(B40,[1]Sheet1!$A$5:$L$76,7,FALSE)</f>
        <v>NO 459A, THALAWATHUGODA ROAD, MADIWELA</v>
      </c>
      <c r="D40" t="str">
        <f>VLOOKUP(B40,[1]Sheet1!$A$5:$L$76,8,FALSE)</f>
        <v xml:space="preserve">Sri Jayawardenepura Kotte </v>
      </c>
      <c r="E40">
        <f>VLOOKUP(B40,[1]Sheet1!$A$5:$L$76,9,FALSE)</f>
        <v>10100</v>
      </c>
      <c r="F40">
        <f>VLOOKUP(B40,[1]Sheet1!$A$5:$L$76,10,FALSE)</f>
        <v>701035365</v>
      </c>
      <c r="G40" t="str">
        <f>VLOOKUP(B40,[1]Sheet1!$A$5:$L$76,11,FALSE)</f>
        <v>6.878057051818773,</v>
      </c>
      <c r="H40">
        <f>VLOOKUP(B40,[1]Sheet1!$A$5:$L$76,12,FALSE)</f>
        <v>79.925321240000002</v>
      </c>
      <c r="I40">
        <f>VLOOKUP(B40,[1]Sheet1!$A$5:$L$76,2,FALSE)</f>
        <v>113770142</v>
      </c>
      <c r="J40" s="1">
        <f>VLOOKUP(B40,[1]Sheet1!$A$5:$E$76,3,FALSE)</f>
        <v>431250</v>
      </c>
    </row>
    <row r="41" spans="1:10" x14ac:dyDescent="0.35">
      <c r="A41">
        <v>40</v>
      </c>
      <c r="B41" s="2" t="s">
        <v>49</v>
      </c>
      <c r="C41" t="str">
        <f>VLOOKUP(B41,[1]Sheet1!$A$5:$L$76,7,FALSE)</f>
        <v>No. 606, Negombo Road</v>
      </c>
      <c r="D41" t="str">
        <f>VLOOKUP(B41,[1]Sheet1!$A$5:$L$76,8,FALSE)</f>
        <v>Mahabage</v>
      </c>
      <c r="E41">
        <f>VLOOKUP(B41,[1]Sheet1!$A$5:$L$76,9,FALSE)</f>
        <v>71722</v>
      </c>
      <c r="F41" t="str">
        <f>VLOOKUP(B41,[1]Sheet1!$A$5:$L$76,10,FALSE)</f>
        <v>070 692 6361</v>
      </c>
      <c r="G41" t="str">
        <f>VLOOKUP(B41,[1]Sheet1!$A$5:$L$76,11,FALSE)</f>
        <v>7.0219770924509275,</v>
      </c>
      <c r="H41">
        <f>VLOOKUP(B41,[1]Sheet1!$A$5:$L$76,12,FALSE)</f>
        <v>79.902138280000003</v>
      </c>
      <c r="I41">
        <f>VLOOKUP(B41,[1]Sheet1!$A$5:$L$76,2,FALSE)</f>
        <v>172887206.80000001</v>
      </c>
      <c r="J41" s="1">
        <f>VLOOKUP(B41,[1]Sheet1!$A$5:$E$76,3,FALSE)</f>
        <v>929160</v>
      </c>
    </row>
    <row r="42" spans="1:10" x14ac:dyDescent="0.35">
      <c r="A42">
        <v>41</v>
      </c>
      <c r="B42" s="2" t="s">
        <v>50</v>
      </c>
      <c r="C42" t="str">
        <f>VLOOKUP(B42,[1]Sheet1!$A$5:$L$76,7,FALSE)</f>
        <v>119A, High level road</v>
      </c>
      <c r="D42" t="str">
        <f>VLOOKUP(B42,[1]Sheet1!$A$5:$L$76,8,FALSE)</f>
        <v>Maharagama</v>
      </c>
      <c r="E42">
        <f>VLOOKUP(B42,[1]Sheet1!$A$5:$L$76,9,FALSE)</f>
        <v>10280</v>
      </c>
      <c r="F42" t="str">
        <f>VLOOKUP(B42,[1]Sheet1!$A$5:$L$76,10,FALSE)</f>
        <v>070 147 5354</v>
      </c>
      <c r="G42" t="str">
        <f>VLOOKUP(B42,[1]Sheet1!$A$5:$L$76,11,FALSE)</f>
        <v>6.846438201331178,</v>
      </c>
      <c r="H42">
        <f>VLOOKUP(B42,[1]Sheet1!$A$5:$L$76,12,FALSE)</f>
        <v>79.930647710000002</v>
      </c>
      <c r="I42">
        <f>VLOOKUP(B42,[1]Sheet1!$A$5:$L$76,2,FALSE)</f>
        <v>363649485</v>
      </c>
      <c r="J42" s="1">
        <f>VLOOKUP(B42,[1]Sheet1!$A$5:$E$76,3,FALSE)</f>
        <v>647560</v>
      </c>
    </row>
    <row r="43" spans="1:10" x14ac:dyDescent="0.35">
      <c r="A43">
        <v>42</v>
      </c>
      <c r="B43" s="2" t="s">
        <v>51</v>
      </c>
      <c r="C43" t="str">
        <f>VLOOKUP(B43,[1]Sheet1!$A$5:$L$76,7,FALSE)</f>
        <v>NO.163/B/1, MAKOLA SOUTH, MAKOLA</v>
      </c>
      <c r="D43" t="str">
        <f>VLOOKUP(B43,[1]Sheet1!$A$5:$L$76,8,FALSE)</f>
        <v>Makola</v>
      </c>
      <c r="E43">
        <f>VLOOKUP(B43,[1]Sheet1!$A$5:$L$76,9,FALSE)</f>
        <v>11640</v>
      </c>
      <c r="F43" t="str">
        <f>VLOOKUP(B43,[1]Sheet1!$A$5:$L$76,10,FALSE)</f>
        <v>070 448 4122</v>
      </c>
      <c r="G43" t="str">
        <f>VLOOKUP(B43,[1]Sheet1!$A$5:$L$76,11,FALSE)</f>
        <v xml:space="preserve">6.9745041780140395, </v>
      </c>
      <c r="H43">
        <f>VLOOKUP(B43,[1]Sheet1!$A$5:$L$76,12,FALSE)</f>
        <v>79.952167059999994</v>
      </c>
      <c r="I43">
        <f>VLOOKUP(B43,[1]Sheet1!$A$5:$L$76,2,FALSE)</f>
        <v>115522703.5</v>
      </c>
      <c r="J43" s="1">
        <f>VLOOKUP(B43,[1]Sheet1!$A$5:$E$76,3,FALSE)</f>
        <v>374040</v>
      </c>
    </row>
    <row r="44" spans="1:10" x14ac:dyDescent="0.35">
      <c r="A44">
        <v>43</v>
      </c>
      <c r="B44" s="2" t="s">
        <v>52</v>
      </c>
      <c r="C44" t="str">
        <f>VLOOKUP(B44,[1]Sheet1!$A$5:$L$76,7,FALSE)</f>
        <v>NO. 172/2/6, NEW KANDY ROAD, WELIWITA, MALABE.</v>
      </c>
      <c r="D44" t="str">
        <f>VLOOKUP(B44,[1]Sheet1!$A$5:$L$76,8,FALSE)</f>
        <v>Malabe</v>
      </c>
      <c r="E44">
        <f>VLOOKUP(B44,[1]Sheet1!$A$5:$L$76,9,FALSE)</f>
        <v>10116</v>
      </c>
      <c r="F44" t="str">
        <f>VLOOKUP(B44,[1]Sheet1!$A$5:$L$76,10,FALSE)</f>
        <v>070 557 0117</v>
      </c>
      <c r="G44" t="str">
        <f>VLOOKUP(B44,[1]Sheet1!$A$5:$L$76,11,FALSE)</f>
        <v xml:space="preserve">6.915430684020902, </v>
      </c>
      <c r="H44">
        <f>VLOOKUP(B44,[1]Sheet1!$A$5:$L$76,12,FALSE)</f>
        <v>79.972884640000004</v>
      </c>
      <c r="I44">
        <f>VLOOKUP(B44,[1]Sheet1!$A$5:$L$76,2,FALSE)</f>
        <v>58910562</v>
      </c>
      <c r="J44" s="1">
        <f>VLOOKUP(B44,[1]Sheet1!$A$5:$E$76,3,FALSE)</f>
        <v>140210</v>
      </c>
    </row>
    <row r="45" spans="1:10" x14ac:dyDescent="0.35">
      <c r="A45">
        <v>44</v>
      </c>
      <c r="B45" s="2" t="s">
        <v>53</v>
      </c>
      <c r="C45" t="str">
        <f>VLOOKUP(B45,[1]Sheet1!$A$5:$L$76,7,FALSE)</f>
        <v>24, Ven Hikkaduwe Sri Sumangala Nahimi Mawatha,</v>
      </c>
      <c r="D45" t="str">
        <f>VLOOKUP(B45,[1]Sheet1!$A$5:$L$76,8,FALSE)</f>
        <v>Maligakanda road, Colombo 10</v>
      </c>
      <c r="E45">
        <f>VLOOKUP(B45,[1]Sheet1!$A$5:$L$76,9,FALSE)</f>
        <v>100</v>
      </c>
      <c r="F45" t="str">
        <f>VLOOKUP(B45,[1]Sheet1!$A$5:$L$76,10,FALSE)</f>
        <v>070 268 3204</v>
      </c>
      <c r="G45" t="str">
        <f>VLOOKUP(B45,[1]Sheet1!$A$5:$L$76,11,FALSE)</f>
        <v xml:space="preserve">6.927138017780568, </v>
      </c>
      <c r="H45">
        <f>VLOOKUP(B45,[1]Sheet1!$A$5:$L$76,12,FALSE)</f>
        <v>79.871164109999995</v>
      </c>
      <c r="I45">
        <f>VLOOKUP(B45,[1]Sheet1!$A$5:$L$76,2,FALSE)</f>
        <v>107732764.25</v>
      </c>
      <c r="J45" s="1">
        <f>VLOOKUP(B45,[1]Sheet1!$A$5:$E$76,3,FALSE)</f>
        <v>739390</v>
      </c>
    </row>
    <row r="46" spans="1:10" x14ac:dyDescent="0.35">
      <c r="A46">
        <v>45</v>
      </c>
      <c r="B46" s="2" t="s">
        <v>54</v>
      </c>
      <c r="C46" t="str">
        <f>VLOOKUP(B46,[1]Sheet1!$A$5:$L$76,7,FALSE)</f>
        <v>No. 26, 28, Sri Saddarma Mawatha,</v>
      </c>
      <c r="D46" t="str">
        <f>VLOOKUP(B46,[1]Sheet1!$A$5:$L$76,8,FALSE)</f>
        <v>Colombo 10</v>
      </c>
      <c r="E46">
        <f>VLOOKUP(B46,[1]Sheet1!$A$5:$L$76,9,FALSE)</f>
        <v>1000</v>
      </c>
      <c r="F46" t="str">
        <f>VLOOKUP(B46,[1]Sheet1!$A$5:$L$76,10,FALSE)</f>
        <v>071 535 6586</v>
      </c>
      <c r="G46" t="str">
        <f>VLOOKUP(B46,[1]Sheet1!$A$5:$L$76,11,FALSE)</f>
        <v xml:space="preserve">6.936165230661296, </v>
      </c>
      <c r="H46">
        <f>VLOOKUP(B46,[1]Sheet1!$A$5:$L$76,12,FALSE)</f>
        <v>79.874095909999994</v>
      </c>
      <c r="I46">
        <f>VLOOKUP(B46,[1]Sheet1!$A$5:$L$76,2,FALSE)</f>
        <v>187809612.5</v>
      </c>
      <c r="J46" s="1">
        <f>VLOOKUP(B46,[1]Sheet1!$A$5:$E$76,3,FALSE)</f>
        <v>826530</v>
      </c>
    </row>
    <row r="47" spans="1:10" x14ac:dyDescent="0.35">
      <c r="A47">
        <v>46</v>
      </c>
      <c r="B47" s="2" t="s">
        <v>55</v>
      </c>
      <c r="C47" t="str">
        <f>VLOOKUP(B47,[1]Sheet1!$A$5:$L$76,7,FALSE)</f>
        <v>No 23 Sri Dhamma Mawatha</v>
      </c>
      <c r="D47" t="str">
        <f>VLOOKUP(B47,[1]Sheet1!$A$5:$L$76,8,FALSE)</f>
        <v>Colombo 10</v>
      </c>
      <c r="E47">
        <f>VLOOKUP(B47,[1]Sheet1!$A$5:$L$76,9,FALSE)</f>
        <v>1000</v>
      </c>
      <c r="F47" t="str">
        <f>VLOOKUP(B47,[1]Sheet1!$A$5:$L$76,10,FALSE)</f>
        <v>071 535 6567</v>
      </c>
      <c r="G47" t="str">
        <f>VLOOKUP(B47,[1]Sheet1!$A$5:$L$76,11,FALSE)</f>
        <v xml:space="preserve">6.923660222874464, </v>
      </c>
      <c r="H47">
        <f>VLOOKUP(B47,[1]Sheet1!$A$5:$L$76,12,FALSE)</f>
        <v>79.874976279999998</v>
      </c>
      <c r="I47">
        <f>VLOOKUP(B47,[1]Sheet1!$A$5:$L$76,2,FALSE)</f>
        <v>138378513.5</v>
      </c>
      <c r="J47" s="1">
        <f>VLOOKUP(B47,[1]Sheet1!$A$5:$E$76,3,FALSE)</f>
        <v>740810</v>
      </c>
    </row>
    <row r="48" spans="1:10" x14ac:dyDescent="0.35">
      <c r="A48">
        <v>47</v>
      </c>
      <c r="B48" s="2" t="s">
        <v>56</v>
      </c>
      <c r="C48" t="str">
        <f>VLOOKUP(B48,[1]Sheet1!$A$5:$L$76,7,FALSE)</f>
        <v>80/A Vystwyke Road</v>
      </c>
      <c r="D48" t="str">
        <f>VLOOKUP(B48,[1]Sheet1!$A$5:$L$76,8,FALSE)</f>
        <v>Mattakkuliya</v>
      </c>
      <c r="E48">
        <f>VLOOKUP(B48,[1]Sheet1!$A$5:$L$76,9,FALSE)</f>
        <v>1500</v>
      </c>
      <c r="F48" t="str">
        <f>VLOOKUP(B48,[1]Sheet1!$A$5:$L$76,10,FALSE)</f>
        <v>071 868 4227</v>
      </c>
      <c r="G48" t="str">
        <f>VLOOKUP(B48,[1]Sheet1!$A$5:$L$76,11,FALSE)</f>
        <v xml:space="preserve">6.9728475584338865, </v>
      </c>
      <c r="H48">
        <f>VLOOKUP(B48,[1]Sheet1!$A$5:$L$76,12,FALSE)</f>
        <v>79.875853039999996</v>
      </c>
      <c r="I48">
        <f>VLOOKUP(B48,[1]Sheet1!$A$5:$L$76,2,FALSE)</f>
        <v>125830976.05</v>
      </c>
      <c r="J48" s="1">
        <f>VLOOKUP(B48,[1]Sheet1!$A$5:$E$76,3,FALSE)</f>
        <v>468440</v>
      </c>
    </row>
    <row r="49" spans="1:10" x14ac:dyDescent="0.35">
      <c r="A49">
        <v>48</v>
      </c>
      <c r="B49" s="2" t="s">
        <v>57</v>
      </c>
      <c r="C49" t="str">
        <f>VLOOKUP(B49,[1]Sheet1!$A$5:$L$76,7,FALSE)</f>
        <v>No. 218, Aluthmawatha Road,</v>
      </c>
      <c r="D49" t="str">
        <f>VLOOKUP(B49,[1]Sheet1!$A$5:$L$76,8,FALSE)</f>
        <v>Colombo 15</v>
      </c>
      <c r="E49">
        <f>VLOOKUP(B49,[1]Sheet1!$A$5:$L$76,9,FALSE)</f>
        <v>1500</v>
      </c>
      <c r="F49" t="str">
        <f>VLOOKUP(B49,[1]Sheet1!$A$5:$L$76,10,FALSE)</f>
        <v>070 598 2707</v>
      </c>
      <c r="G49" t="str">
        <f>VLOOKUP(B49,[1]Sheet1!$A$5:$L$76,11,FALSE)</f>
        <v>6.957564888706071,</v>
      </c>
      <c r="H49">
        <f>VLOOKUP(B49,[1]Sheet1!$A$5:$L$76,12,FALSE)</f>
        <v>79.863825910000003</v>
      </c>
      <c r="I49">
        <f>VLOOKUP(B49,[1]Sheet1!$A$5:$L$76,2,FALSE)</f>
        <v>99985212.650000006</v>
      </c>
      <c r="J49" s="1">
        <f>VLOOKUP(B49,[1]Sheet1!$A$5:$E$76,3,FALSE)</f>
        <v>617780</v>
      </c>
    </row>
    <row r="50" spans="1:10" x14ac:dyDescent="0.35">
      <c r="A50">
        <v>49</v>
      </c>
      <c r="B50" s="2" t="s">
        <v>58</v>
      </c>
      <c r="C50" t="str">
        <f>VLOOKUP(B50,[1]Sheet1!$A$5:$L$76,7,FALSE)</f>
        <v>5, New Galle Road, Kurasa Handiya</v>
      </c>
      <c r="D50" t="str">
        <f>VLOOKUP(B50,[1]Sheet1!$A$5:$L$76,8,FALSE)</f>
        <v>Moratuwa</v>
      </c>
      <c r="E50">
        <f>VLOOKUP(B50,[1]Sheet1!$A$5:$L$76,9,FALSE)</f>
        <v>10400</v>
      </c>
      <c r="F50" t="str">
        <f>VLOOKUP(B50,[1]Sheet1!$A$5:$L$76,10,FALSE)</f>
        <v>070 558 9405</v>
      </c>
      <c r="G50" t="str">
        <f>VLOOKUP(B50,[1]Sheet1!$A$5:$L$76,11,FALSE)</f>
        <v>6.779759275603281,</v>
      </c>
      <c r="H50">
        <f>VLOOKUP(B50,[1]Sheet1!$A$5:$L$76,12,FALSE)</f>
        <v>79.886005370000007</v>
      </c>
      <c r="I50">
        <f>VLOOKUP(B50,[1]Sheet1!$A$5:$L$76,2,FALSE)</f>
        <v>249060876.69999999</v>
      </c>
      <c r="J50" s="1">
        <f>VLOOKUP(B50,[1]Sheet1!$A$5:$E$76,3,FALSE)</f>
        <v>1240240</v>
      </c>
    </row>
    <row r="51" spans="1:10" x14ac:dyDescent="0.35">
      <c r="A51">
        <v>50</v>
      </c>
      <c r="B51" s="2" t="s">
        <v>59</v>
      </c>
      <c r="C51" t="str">
        <f>VLOOKUP(B51,[1]Sheet1!$A$5:$L$76,7,FALSE)</f>
        <v>401, Galle Road</v>
      </c>
      <c r="D51" t="str">
        <f>VLOOKUP(B51,[1]Sheet1!$A$5:$L$76,8,FALSE)</f>
        <v>Mount Lavinia</v>
      </c>
      <c r="E51">
        <f>VLOOKUP(B51,[1]Sheet1!$A$5:$L$76,9,FALSE)</f>
        <v>10370</v>
      </c>
      <c r="F51" t="str">
        <f>VLOOKUP(B51,[1]Sheet1!$A$5:$L$76,10,FALSE)</f>
        <v>070 675 4356</v>
      </c>
      <c r="G51" t="str">
        <f>VLOOKUP(B51,[1]Sheet1!$A$5:$L$76,11,FALSE)</f>
        <v xml:space="preserve">6.839092015425288, </v>
      </c>
      <c r="H51">
        <f>VLOOKUP(B51,[1]Sheet1!$A$5:$L$76,12,FALSE)</f>
        <v>79.869744249999997</v>
      </c>
      <c r="I51">
        <f>VLOOKUP(B51,[1]Sheet1!$A$5:$L$76,2,FALSE)</f>
        <v>165342167</v>
      </c>
      <c r="J51" s="1">
        <f>VLOOKUP(B51,[1]Sheet1!$A$5:$E$76,3,FALSE)</f>
        <v>891310</v>
      </c>
    </row>
    <row r="52" spans="1:10" x14ac:dyDescent="0.35">
      <c r="A52">
        <v>51</v>
      </c>
      <c r="B52" s="2" t="s">
        <v>60</v>
      </c>
      <c r="C52" t="str">
        <f>VLOOKUP(B52,[1]Sheet1!$A$5:$L$76,7,FALSE)</f>
        <v>221, Kirula Road, Narahenpita</v>
      </c>
      <c r="D52" t="str">
        <f>VLOOKUP(B52,[1]Sheet1!$A$5:$L$76,8,FALSE)</f>
        <v>Colombo 05</v>
      </c>
      <c r="E52">
        <f>VLOOKUP(B52,[1]Sheet1!$A$5:$L$76,9,FALSE)</f>
        <v>500</v>
      </c>
      <c r="F52" t="str">
        <f>VLOOKUP(B52,[1]Sheet1!$A$5:$L$76,10,FALSE)</f>
        <v>071 535 6576</v>
      </c>
      <c r="G52" t="str">
        <f>VLOOKUP(B52,[1]Sheet1!$A$5:$L$76,11,FALSE)</f>
        <v xml:space="preserve">6.893007228389358, </v>
      </c>
      <c r="H52">
        <f>VLOOKUP(B52,[1]Sheet1!$A$5:$L$76,12,FALSE)</f>
        <v>79.877998070000004</v>
      </c>
      <c r="I52">
        <f>VLOOKUP(B52,[1]Sheet1!$A$5:$L$76,2,FALSE)</f>
        <v>198418241.94999999</v>
      </c>
      <c r="J52" s="1">
        <f>VLOOKUP(B52,[1]Sheet1!$A$5:$E$76,3,FALSE)</f>
        <v>332480</v>
      </c>
    </row>
    <row r="53" spans="1:10" x14ac:dyDescent="0.35">
      <c r="A53">
        <v>52</v>
      </c>
      <c r="B53" s="2" t="s">
        <v>61</v>
      </c>
      <c r="C53" t="str">
        <f>VLOOKUP(B53,[1]Sheet1!$A$5:$L$76,7,FALSE)</f>
        <v xml:space="preserve">266 A266 A Nawala Rd, </v>
      </c>
      <c r="D53" t="str">
        <f>VLOOKUP(B53,[1]Sheet1!$A$5:$L$76,8,FALSE)</f>
        <v>Sri Jayawardenepura Kotte</v>
      </c>
      <c r="E53">
        <f>VLOOKUP(B53,[1]Sheet1!$A$5:$L$76,9,FALSE)</f>
        <v>500</v>
      </c>
      <c r="F53" t="str">
        <f>VLOOKUP(B53,[1]Sheet1!$A$5:$L$76,10,FALSE)</f>
        <v>071 870 1688</v>
      </c>
      <c r="G53" t="str">
        <f>VLOOKUP(B53,[1]Sheet1!$A$5:$L$76,11,FALSE)</f>
        <v xml:space="preserve">6.8883125083638905, </v>
      </c>
      <c r="H53">
        <f>VLOOKUP(B53,[1]Sheet1!$A$5:$L$76,12,FALSE)</f>
        <v>79.891460100000003</v>
      </c>
      <c r="I53">
        <f>VLOOKUP(B53,[1]Sheet1!$A$5:$L$76,2,FALSE)</f>
        <v>170937135.75</v>
      </c>
      <c r="J53" s="1">
        <f>VLOOKUP(B53,[1]Sheet1!$A$5:$E$76,3,FALSE)</f>
        <v>640090</v>
      </c>
    </row>
    <row r="54" spans="1:10" x14ac:dyDescent="0.35">
      <c r="A54">
        <v>53</v>
      </c>
      <c r="B54" s="2" t="s">
        <v>62</v>
      </c>
      <c r="C54" t="str">
        <f>VLOOKUP(B54,[1]Sheet1!$A$5:$L$76,7,FALSE)</f>
        <v>No1, 4th Lane Archbishop Nicholas Marcus Fernando Mawatha</v>
      </c>
      <c r="D54" t="str">
        <f>VLOOKUP(B54,[1]Sheet1!$A$5:$L$76,8,FALSE)</f>
        <v xml:space="preserve">Negombo </v>
      </c>
      <c r="E54">
        <f>VLOOKUP(B54,[1]Sheet1!$A$5:$L$76,9,FALSE)</f>
        <v>11500</v>
      </c>
      <c r="F54" t="str">
        <f>VLOOKUP(B54,[1]Sheet1!$A$5:$L$76,10,FALSE)</f>
        <v>071 535 6558</v>
      </c>
      <c r="G54" t="str">
        <f>VLOOKUP(B54,[1]Sheet1!$A$5:$L$76,11,FALSE)</f>
        <v xml:space="preserve">7.201230325805667, </v>
      </c>
      <c r="H54">
        <f>VLOOKUP(B54,[1]Sheet1!$A$5:$L$76,12,FALSE)</f>
        <v>79.850923539999997</v>
      </c>
      <c r="I54">
        <f>VLOOKUP(B54,[1]Sheet1!$A$5:$L$76,2,FALSE)</f>
        <v>203433106.5</v>
      </c>
      <c r="J54" s="1">
        <f>VLOOKUP(B54,[1]Sheet1!$A$5:$E$76,3,FALSE)</f>
        <v>808020</v>
      </c>
    </row>
    <row r="55" spans="1:10" x14ac:dyDescent="0.35">
      <c r="A55">
        <v>54</v>
      </c>
      <c r="B55" s="2" t="s">
        <v>63</v>
      </c>
      <c r="C55" t="str">
        <f>VLOOKUP(B55,[1]Sheet1!$A$5:$L$76,7,FALSE)</f>
        <v>NO 491/1, KANDY ROAD, NITTAMBUWA.</v>
      </c>
      <c r="D55" t="str">
        <f>VLOOKUP(B55,[1]Sheet1!$A$5:$L$76,8,FALSE)</f>
        <v>NITTABUWA</v>
      </c>
      <c r="E55">
        <f>VLOOKUP(B55,[1]Sheet1!$A$5:$L$76,9,FALSE)</f>
        <v>11880</v>
      </c>
      <c r="F55">
        <f>VLOOKUP(B55,[1]Sheet1!$A$5:$L$76,10,FALSE)</f>
        <v>715981573</v>
      </c>
      <c r="G55" t="str">
        <f>VLOOKUP(B55,[1]Sheet1!$A$5:$L$76,11,FALSE)</f>
        <v xml:space="preserve">7.141137516545126, </v>
      </c>
      <c r="H55">
        <f>VLOOKUP(B55,[1]Sheet1!$A$5:$L$76,12,FALSE)</f>
        <v>80.094363740000006</v>
      </c>
      <c r="I55">
        <f>VLOOKUP(B55,[1]Sheet1!$A$5:$L$76,2,FALSE)</f>
        <v>29500113</v>
      </c>
      <c r="J55" s="1">
        <f>VLOOKUP(B55,[1]Sheet1!$A$5:$E$76,3,FALSE)</f>
        <v>81800</v>
      </c>
    </row>
    <row r="56" spans="1:10" x14ac:dyDescent="0.35">
      <c r="A56">
        <v>55</v>
      </c>
      <c r="B56" s="2" t="s">
        <v>10</v>
      </c>
      <c r="C56" t="str">
        <f>VLOOKUP(B56,[1]Sheet1!$A$5:$L$76,7,FALSE)</f>
        <v>NO 2, DEHIWALA ROAD, MAHARAGAMA.</v>
      </c>
      <c r="D56" t="str">
        <f>VLOOKUP(B56,[1]Sheet1!$A$5:$L$76,8,FALSE)</f>
        <v>NUGEGODA</v>
      </c>
      <c r="E56">
        <f>VLOOKUP(B56,[1]Sheet1!$A$5:$L$76,9,FALSE)</f>
        <v>10250</v>
      </c>
      <c r="F56">
        <f>VLOOKUP(B56,[1]Sheet1!$A$5:$L$76,10,FALSE)</f>
        <v>715356582</v>
      </c>
      <c r="G56" t="str">
        <f>VLOOKUP(B56,[1]Sheet1!$A$5:$L$76,11,FALSE)</f>
        <v>6.874895286246623,</v>
      </c>
      <c r="H56">
        <f>VLOOKUP(B56,[1]Sheet1!$A$5:$L$76,12,FALSE)</f>
        <v>79.894136000000003</v>
      </c>
      <c r="I56">
        <f>VLOOKUP(B56,[1]Sheet1!$A$5:$L$76,2,FALSE)</f>
        <v>7141882</v>
      </c>
      <c r="J56" s="1">
        <f>VLOOKUP(B56,[1]Sheet1!$A$5:$E$76,3,FALSE)</f>
        <v>28000</v>
      </c>
    </row>
    <row r="57" spans="1:10" x14ac:dyDescent="0.35">
      <c r="A57">
        <v>56</v>
      </c>
      <c r="B57" s="2" t="s">
        <v>64</v>
      </c>
      <c r="C57" t="str">
        <f>VLOOKUP(B57,[1]Sheet1!$A$5:$L$76,7,FALSE)</f>
        <v>188 W.A. Silva Mawatha,</v>
      </c>
      <c r="D57" t="str">
        <f>VLOOKUP(B57,[1]Sheet1!$A$5:$L$76,8,FALSE)</f>
        <v>Colombo 6</v>
      </c>
      <c r="E57">
        <f>VLOOKUP(B57,[1]Sheet1!$A$5:$L$76,9,FALSE)</f>
        <v>600</v>
      </c>
      <c r="F57" t="str">
        <f>VLOOKUP(B57,[1]Sheet1!$A$5:$L$76,10,FALSE)</f>
        <v>070 692 6363</v>
      </c>
      <c r="G57" t="str">
        <f>VLOOKUP(B57,[1]Sheet1!$A$5:$L$76,11,FALSE)</f>
        <v>6.877506782086008,</v>
      </c>
      <c r="H57">
        <f>VLOOKUP(B57,[1]Sheet1!$A$5:$L$76,12,FALSE)</f>
        <v>79.870502700000003</v>
      </c>
      <c r="I57">
        <f>VLOOKUP(B57,[1]Sheet1!$A$5:$L$76,2,FALSE)</f>
        <v>124993261.5</v>
      </c>
      <c r="J57" s="1">
        <f>VLOOKUP(B57,[1]Sheet1!$A$5:$E$76,3,FALSE)</f>
        <v>487450</v>
      </c>
    </row>
    <row r="58" spans="1:10" x14ac:dyDescent="0.35">
      <c r="A58">
        <v>57</v>
      </c>
      <c r="B58" s="2" t="s">
        <v>65</v>
      </c>
      <c r="C58" t="str">
        <f>VLOOKUP(B58,[1]Sheet1!$A$5:$L$76,7,FALSE)</f>
        <v>437E, Galle road</v>
      </c>
      <c r="D58" t="str">
        <f>VLOOKUP(B58,[1]Sheet1!$A$5:$L$76,8,FALSE)</f>
        <v>Panadura</v>
      </c>
      <c r="E58">
        <f>VLOOKUP(B58,[1]Sheet1!$A$5:$L$76,9,FALSE)</f>
        <v>12500</v>
      </c>
      <c r="F58" t="str">
        <f>VLOOKUP(B58,[1]Sheet1!$A$5:$L$76,10,FALSE)</f>
        <v>070 698 1292</v>
      </c>
      <c r="G58" t="str">
        <f>VLOOKUP(B58,[1]Sheet1!$A$5:$L$76,11,FALSE)</f>
        <v xml:space="preserve">6.711638765810424, </v>
      </c>
      <c r="H58">
        <f>VLOOKUP(B58,[1]Sheet1!$A$5:$L$76,12,FALSE)</f>
        <v>79.91006127</v>
      </c>
      <c r="I58">
        <f>VLOOKUP(B58,[1]Sheet1!$A$5:$L$76,2,FALSE)</f>
        <v>269714835</v>
      </c>
      <c r="J58" s="1">
        <f>VLOOKUP(B58,[1]Sheet1!$A$5:$E$76,3,FALSE)</f>
        <v>331640</v>
      </c>
    </row>
    <row r="59" spans="1:10" x14ac:dyDescent="0.35">
      <c r="A59">
        <v>58</v>
      </c>
      <c r="B59" s="2" t="s">
        <v>66</v>
      </c>
      <c r="C59" t="str">
        <f>VLOOKUP(B59,[1]Sheet1!$A$5:$L$76,7,FALSE)</f>
        <v>No.66 Adnives Road Periyamulla</v>
      </c>
      <c r="D59" t="str">
        <f>VLOOKUP(B59,[1]Sheet1!$A$5:$L$76,8,FALSE)</f>
        <v>Negombo</v>
      </c>
      <c r="E59">
        <f>VLOOKUP(B59,[1]Sheet1!$A$5:$L$76,9,FALSE)</f>
        <v>11500</v>
      </c>
      <c r="F59" t="str">
        <f>VLOOKUP(B59,[1]Sheet1!$A$5:$L$76,10,FALSE)</f>
        <v>070 625 3498</v>
      </c>
      <c r="G59" t="str">
        <f>VLOOKUP(B59,[1]Sheet1!$A$5:$L$76,11,FALSE)</f>
        <v xml:space="preserve">7.225526731288184, </v>
      </c>
      <c r="H59">
        <f>VLOOKUP(B59,[1]Sheet1!$A$5:$L$76,12,FALSE)</f>
        <v>79.848824460000003</v>
      </c>
      <c r="I59">
        <f>VLOOKUP(B59,[1]Sheet1!$A$5:$L$76,2,FALSE)</f>
        <v>147128629</v>
      </c>
      <c r="J59" s="1">
        <f>VLOOKUP(B59,[1]Sheet1!$A$5:$E$76,3,FALSE)</f>
        <v>662560</v>
      </c>
    </row>
    <row r="60" spans="1:10" x14ac:dyDescent="0.35">
      <c r="A60">
        <v>59</v>
      </c>
      <c r="B60" s="2" t="s">
        <v>67</v>
      </c>
      <c r="C60" t="str">
        <f>VLOOKUP(B60,[1]Sheet1!$A$5:$L$76,7,FALSE)</f>
        <v>NO. 92 &amp; 94, GUNASINGHEPURA, KESELWATTE</v>
      </c>
      <c r="D60" t="str">
        <f>VLOOKUP(B60,[1]Sheet1!$A$5:$L$76,8,FALSE)</f>
        <v xml:space="preserve">Keselwatte </v>
      </c>
      <c r="E60">
        <f>VLOOKUP(B60,[1]Sheet1!$A$5:$L$76,9,FALSE)</f>
        <v>1100</v>
      </c>
      <c r="F60" t="str">
        <f>VLOOKUP(B60,[1]Sheet1!$A$5:$L$76,10,FALSE)</f>
        <v>070 519 4061</v>
      </c>
      <c r="G60" t="str">
        <f>VLOOKUP(B60,[1]Sheet1!$A$5:$L$76,11,FALSE)</f>
        <v xml:space="preserve">6.936496830727487, </v>
      </c>
      <c r="H60">
        <f>VLOOKUP(B60,[1]Sheet1!$A$5:$L$76,12,FALSE)</f>
        <v>79.85634494</v>
      </c>
      <c r="I60">
        <f>VLOOKUP(B60,[1]Sheet1!$A$5:$L$76,2,FALSE)</f>
        <v>47757869.299999997</v>
      </c>
      <c r="J60" s="1">
        <f>VLOOKUP(B60,[1]Sheet1!$A$5:$E$76,3,FALSE)</f>
        <v>141270</v>
      </c>
    </row>
    <row r="61" spans="1:10" x14ac:dyDescent="0.35">
      <c r="A61">
        <v>60</v>
      </c>
      <c r="B61" s="2" t="s">
        <v>68</v>
      </c>
      <c r="C61" t="str">
        <f>VLOOKUP(B61,[1]Sheet1!$A$5:$L$76,7,FALSE)</f>
        <v>85/2, Moratuwa Road</v>
      </c>
      <c r="D61" t="str">
        <f>VLOOKUP(B61,[1]Sheet1!$A$5:$L$76,8,FALSE)</f>
        <v>Piliyandala</v>
      </c>
      <c r="E61">
        <f>VLOOKUP(B61,[1]Sheet1!$A$5:$L$76,9,FALSE)</f>
        <v>10300</v>
      </c>
      <c r="F61" t="str">
        <f>VLOOKUP(B61,[1]Sheet1!$A$5:$L$76,10,FALSE)</f>
        <v>070 695 6256</v>
      </c>
      <c r="G61" t="str">
        <f>VLOOKUP(B61,[1]Sheet1!$A$5:$L$76,11,FALSE)</f>
        <v>6.80117116719397,</v>
      </c>
      <c r="H61">
        <f>VLOOKUP(B61,[1]Sheet1!$A$5:$L$76,12,FALSE)</f>
        <v>79.92137726</v>
      </c>
      <c r="I61">
        <f>VLOOKUP(B61,[1]Sheet1!$A$5:$L$76,2,FALSE)</f>
        <v>181570353.69999999</v>
      </c>
      <c r="J61" s="1">
        <f>VLOOKUP(B61,[1]Sheet1!$A$5:$E$76,3,FALSE)</f>
        <v>796890</v>
      </c>
    </row>
    <row r="62" spans="1:10" x14ac:dyDescent="0.35">
      <c r="A62">
        <v>61</v>
      </c>
      <c r="B62" s="2" t="s">
        <v>69</v>
      </c>
      <c r="C62" t="str">
        <f>VLOOKUP(B62,[1]Sheet1!$A$5:$L$76,7,FALSE)</f>
        <v>65/A, National Housing Scheme</v>
      </c>
      <c r="D62" t="str">
        <f>VLOOKUP(B62,[1]Sheet1!$A$5:$L$76,8,FALSE)</f>
        <v>Raddolugama</v>
      </c>
      <c r="E62">
        <f>VLOOKUP(B62,[1]Sheet1!$A$5:$L$76,9,FALSE)</f>
        <v>11400</v>
      </c>
      <c r="F62" t="str">
        <f>VLOOKUP(B62,[1]Sheet1!$A$5:$L$76,10,FALSE)</f>
        <v>070 158 7828</v>
      </c>
      <c r="G62" t="str">
        <f>VLOOKUP(B62,[1]Sheet1!$A$5:$L$76,11,FALSE)</f>
        <v>7.139885708670423,</v>
      </c>
      <c r="H62">
        <f>VLOOKUP(B62,[1]Sheet1!$A$5:$L$76,12,FALSE)</f>
        <v>79.903090340000006</v>
      </c>
      <c r="I62">
        <f>VLOOKUP(B62,[1]Sheet1!$A$5:$L$76,2,FALSE)</f>
        <v>106081233.7</v>
      </c>
      <c r="J62" s="1">
        <f>VLOOKUP(B62,[1]Sheet1!$A$5:$E$76,3,FALSE)</f>
        <v>681070</v>
      </c>
    </row>
    <row r="63" spans="1:10" x14ac:dyDescent="0.35">
      <c r="A63">
        <v>62</v>
      </c>
      <c r="B63" s="2" t="s">
        <v>70</v>
      </c>
      <c r="C63" t="str">
        <f>VLOOKUP(B63,[1]Sheet1!$A$5:$L$76,7,FALSE)</f>
        <v>34 Thewatta Road</v>
      </c>
      <c r="D63" t="str">
        <f>VLOOKUP(B63,[1]Sheet1!$A$5:$L$76,8,FALSE)</f>
        <v>Ragama</v>
      </c>
      <c r="E63">
        <f>VLOOKUP(B63,[1]Sheet1!$A$5:$L$76,9,FALSE)</f>
        <v>11010</v>
      </c>
      <c r="F63" t="str">
        <f>VLOOKUP(B63,[1]Sheet1!$A$5:$L$76,10,FALSE)</f>
        <v>070 648 5734</v>
      </c>
      <c r="G63" t="str">
        <f>VLOOKUP(B63,[1]Sheet1!$A$5:$L$76,11,FALSE)</f>
        <v xml:space="preserve">7.031174434645436, </v>
      </c>
      <c r="H63">
        <f>VLOOKUP(B63,[1]Sheet1!$A$5:$L$76,12,FALSE)</f>
        <v>79.923615659999996</v>
      </c>
      <c r="I63">
        <f>VLOOKUP(B63,[1]Sheet1!$A$5:$L$76,2,FALSE)</f>
        <v>194797971</v>
      </c>
      <c r="J63" s="1">
        <f>VLOOKUP(B63,[1]Sheet1!$A$5:$E$76,3,FALSE)</f>
        <v>344030</v>
      </c>
    </row>
    <row r="64" spans="1:10" x14ac:dyDescent="0.35">
      <c r="A64">
        <v>63</v>
      </c>
      <c r="B64" s="2" t="s">
        <v>71</v>
      </c>
      <c r="C64" t="str">
        <f>VLOOKUP(B64,[1]Sheet1!$A$5:$L$76,7,FALSE)</f>
        <v>No. 83B, Main Street, Obeysekarapura</v>
      </c>
      <c r="D64" t="str">
        <f>VLOOKUP(B64,[1]Sheet1!$A$5:$L$76,8,FALSE)</f>
        <v>Rajagiriya</v>
      </c>
      <c r="E64">
        <f>VLOOKUP(B64,[1]Sheet1!$A$5:$L$76,9,FALSE)</f>
        <v>10100</v>
      </c>
      <c r="F64" t="str">
        <f>VLOOKUP(B64,[1]Sheet1!$A$5:$L$76,10,FALSE)</f>
        <v>071 868 4224</v>
      </c>
      <c r="G64" t="str">
        <f>VLOOKUP(B64,[1]Sheet1!$A$5:$L$76,11,FALSE)</f>
        <v>6.9159563545718905,</v>
      </c>
      <c r="H64">
        <f>VLOOKUP(B64,[1]Sheet1!$A$5:$L$76,12,FALSE)</f>
        <v>79.89295276</v>
      </c>
      <c r="I64">
        <f>VLOOKUP(B64,[1]Sheet1!$A$5:$L$76,2,FALSE)</f>
        <v>134723497.5</v>
      </c>
      <c r="J64" s="1">
        <f>VLOOKUP(B64,[1]Sheet1!$A$5:$E$76,3,FALSE)</f>
        <v>697720</v>
      </c>
    </row>
    <row r="65" spans="1:10" x14ac:dyDescent="0.35">
      <c r="A65">
        <v>64</v>
      </c>
      <c r="B65" s="2" t="s">
        <v>72</v>
      </c>
      <c r="C65" t="str">
        <f>VLOOKUP(B65,[1]Sheet1!$A$5:$L$76,7,FALSE)</f>
        <v>NO 245, GALLE ROAD, RATMALANA.</v>
      </c>
      <c r="D65" t="str">
        <f>VLOOKUP(B65,[1]Sheet1!$A$5:$L$76,8,FALSE)</f>
        <v>RATHMALANA</v>
      </c>
      <c r="E65">
        <f>VLOOKUP(B65,[1]Sheet1!$A$5:$L$76,9,FALSE)</f>
        <v>10390</v>
      </c>
      <c r="F65">
        <f>VLOOKUP(B65,[1]Sheet1!$A$5:$L$76,10,FALSE)</f>
        <v>715981571</v>
      </c>
      <c r="G65" t="str">
        <f>VLOOKUP(B65,[1]Sheet1!$A$5:$L$76,11,FALSE)</f>
        <v xml:space="preserve">6.824847253481354, </v>
      </c>
      <c r="H65">
        <f>VLOOKUP(B65,[1]Sheet1!$A$5:$L$76,12,FALSE)</f>
        <v>79.870381890000004</v>
      </c>
      <c r="I65">
        <f>VLOOKUP(B65,[1]Sheet1!$A$5:$L$76,2,FALSE)</f>
        <v>8779420</v>
      </c>
      <c r="J65" s="1">
        <f>VLOOKUP(B65,[1]Sheet1!$A$5:$E$76,3,FALSE)</f>
        <v>46220</v>
      </c>
    </row>
    <row r="66" spans="1:10" x14ac:dyDescent="0.35">
      <c r="A66">
        <v>65</v>
      </c>
      <c r="B66" s="2" t="s">
        <v>73</v>
      </c>
      <c r="C66" t="str">
        <f>VLOOKUP(B66,[1]Sheet1!$A$5:$L$76,7,FALSE)</f>
        <v>40Metro Homes</v>
      </c>
      <c r="D66" t="str">
        <f>VLOOKUP(B66,[1]Sheet1!$A$5:$L$76,8,FALSE)</f>
        <v xml:space="preserve">Slave Island </v>
      </c>
      <c r="E66">
        <f>VLOOKUP(B66,[1]Sheet1!$A$5:$L$76,9,FALSE)</f>
        <v>200</v>
      </c>
      <c r="F66" t="str">
        <f>VLOOKUP(B66,[1]Sheet1!$A$5:$L$76,10,FALSE)</f>
        <v>070 693 4534</v>
      </c>
      <c r="G66" t="str">
        <f>VLOOKUP(B66,[1]Sheet1!$A$5:$L$76,11,FALSE)</f>
        <v xml:space="preserve">6.926555635637179, </v>
      </c>
      <c r="H66">
        <f>VLOOKUP(B66,[1]Sheet1!$A$5:$L$76,12,FALSE)</f>
        <v>79.852095509999998</v>
      </c>
      <c r="I66">
        <f>VLOOKUP(B66,[1]Sheet1!$A$5:$L$76,2,FALSE)</f>
        <v>178702354.09999999</v>
      </c>
      <c r="J66" s="1">
        <f>VLOOKUP(B66,[1]Sheet1!$A$5:$E$76,3,FALSE)</f>
        <v>712990</v>
      </c>
    </row>
    <row r="67" spans="1:10" x14ac:dyDescent="0.35">
      <c r="A67">
        <v>66</v>
      </c>
      <c r="B67" s="2" t="s">
        <v>74</v>
      </c>
      <c r="C67" t="str">
        <f>VLOOKUP(B67,[1]Sheet1!$A$5:$L$76,7,FALSE)</f>
        <v xml:space="preserve">14B Kaduwela Road Koswatta, </v>
      </c>
      <c r="D67" t="str">
        <f>VLOOKUP(B67,[1]Sheet1!$A$5:$L$76,8,FALSE)</f>
        <v>Thalahena</v>
      </c>
      <c r="E67">
        <f>VLOOKUP(B67,[1]Sheet1!$A$5:$L$76,9,FALSE)</f>
        <v>10115</v>
      </c>
      <c r="F67" t="str">
        <f>VLOOKUP(B67,[1]Sheet1!$A$5:$L$76,10,FALSE)</f>
        <v>071 708 1608</v>
      </c>
      <c r="G67" t="str">
        <f>VLOOKUP(B67,[1]Sheet1!$A$5:$L$76,11,FALSE)</f>
        <v xml:space="preserve">6.908069742596048, </v>
      </c>
      <c r="H67">
        <f>VLOOKUP(B67,[1]Sheet1!$A$5:$L$76,12,FALSE)</f>
        <v>79.936771280000002</v>
      </c>
      <c r="I67">
        <f>VLOOKUP(B67,[1]Sheet1!$A$5:$L$76,2,FALSE)</f>
        <v>253983311.86000001</v>
      </c>
      <c r="J67" s="1">
        <f>VLOOKUP(B67,[1]Sheet1!$A$5:$E$76,3,FALSE)</f>
        <v>635260</v>
      </c>
    </row>
    <row r="68" spans="1:10" x14ac:dyDescent="0.35">
      <c r="A68">
        <v>67</v>
      </c>
      <c r="B68" s="2" t="s">
        <v>9</v>
      </c>
      <c r="C68" t="str">
        <f>VLOOKUP(B68,[1]Sheet1!$A$5:$L$76,7,FALSE)</f>
        <v>NO 126 E, KANDY ROAD, THIHARIYA.</v>
      </c>
      <c r="D68" t="str">
        <f>VLOOKUP(B68,[1]Sheet1!$A$5:$L$76,8,FALSE)</f>
        <v>THIHARIYA</v>
      </c>
      <c r="E68">
        <f>VLOOKUP(B68,[1]Sheet1!$A$5:$L$76,9,FALSE)</f>
        <v>11100</v>
      </c>
      <c r="F68">
        <f>VLOOKUP(B68,[1]Sheet1!$A$5:$L$76,10,FALSE)</f>
        <v>715981548</v>
      </c>
      <c r="G68" t="str">
        <f>VLOOKUP(B68,[1]Sheet1!$A$5:$L$76,11,FALSE)</f>
        <v xml:space="preserve">7.126946574852639, </v>
      </c>
      <c r="H68">
        <f>VLOOKUP(B68,[1]Sheet1!$A$5:$L$76,12,FALSE)</f>
        <v>80.074375860000004</v>
      </c>
      <c r="I68">
        <f>VLOOKUP(B68,[1]Sheet1!$A$5:$L$76,2,FALSE)</f>
        <v>19427896</v>
      </c>
      <c r="J68" s="1">
        <f>VLOOKUP(B68,[1]Sheet1!$A$5:$E$76,3,FALSE)</f>
        <v>92840</v>
      </c>
    </row>
    <row r="69" spans="1:10" x14ac:dyDescent="0.35">
      <c r="A69">
        <v>68</v>
      </c>
      <c r="B69" s="2" t="s">
        <v>75</v>
      </c>
      <c r="C69" t="str">
        <f>VLOOKUP(B69,[1]Sheet1!$A$5:$L$76,7,FALSE)</f>
        <v>238, Negombo road</v>
      </c>
      <c r="D69" t="str">
        <f>VLOOKUP(B69,[1]Sheet1!$A$5:$L$76,8,FALSE)</f>
        <v>Wattala</v>
      </c>
      <c r="E69">
        <f>VLOOKUP(B69,[1]Sheet1!$A$5:$L$76,9,FALSE)</f>
        <v>11300</v>
      </c>
      <c r="F69" t="str">
        <f>VLOOKUP(B69,[1]Sheet1!$A$5:$L$76,10,FALSE)</f>
        <v>070 283 7239</v>
      </c>
      <c r="G69" t="str">
        <f>VLOOKUP(B69,[1]Sheet1!$A$5:$L$76,11,FALSE)</f>
        <v xml:space="preserve">6.982061378316514, </v>
      </c>
      <c r="H69">
        <f>VLOOKUP(B69,[1]Sheet1!$A$5:$L$76,12,FALSE)</f>
        <v>79.889698850000002</v>
      </c>
      <c r="I69">
        <f>VLOOKUP(B69,[1]Sheet1!$A$5:$L$76,2,FALSE)</f>
        <v>199981672.55000001</v>
      </c>
      <c r="J69" s="1">
        <f>VLOOKUP(B69,[1]Sheet1!$A$5:$E$76,3,FALSE)</f>
        <v>679590</v>
      </c>
    </row>
    <row r="70" spans="1:10" x14ac:dyDescent="0.35">
      <c r="A70">
        <v>69</v>
      </c>
      <c r="B70" s="2" t="s">
        <v>76</v>
      </c>
      <c r="C70" t="str">
        <f>VLOOKUP(B70,[1]Sheet1!$A$5:$L$76,7,FALSE)</f>
        <v xml:space="preserve">No 377 C Avissawella Road </v>
      </c>
      <c r="D70" t="str">
        <f>VLOOKUP(B70,[1]Sheet1!$A$5:$L$76,8,FALSE)</f>
        <v>Wellampitiya</v>
      </c>
      <c r="E70">
        <f>VLOOKUP(B70,[1]Sheet1!$A$5:$L$76,9,FALSE)</f>
        <v>10600</v>
      </c>
      <c r="F70" t="str">
        <f>VLOOKUP(B70,[1]Sheet1!$A$5:$L$76,10,FALSE)</f>
        <v>070 631 5029</v>
      </c>
      <c r="G70" t="str">
        <f>VLOOKUP(B70,[1]Sheet1!$A$5:$L$76,11,FALSE)</f>
        <v>6.937823525938068,</v>
      </c>
      <c r="H70">
        <f>VLOOKUP(B70,[1]Sheet1!$A$5:$L$76,12,FALSE)</f>
        <v>79.902050540000005</v>
      </c>
      <c r="I70">
        <f>VLOOKUP(B70,[1]Sheet1!$A$5:$L$76,2,FALSE)</f>
        <v>160949457</v>
      </c>
      <c r="J70" s="1">
        <f>VLOOKUP(B70,[1]Sheet1!$A$5:$E$76,3,FALSE)</f>
        <v>593250</v>
      </c>
    </row>
    <row r="71" spans="1:10" x14ac:dyDescent="0.35">
      <c r="A71">
        <v>70</v>
      </c>
      <c r="B71" s="2" t="s">
        <v>77</v>
      </c>
      <c r="C71" t="str">
        <f>VLOOKUP(B71,[1]Sheet1!$A$5:$L$76,7,FALSE)</f>
        <v>181/A, Rajaguru Sri Subuthi Rd</v>
      </c>
      <c r="D71" t="str">
        <f>VLOOKUP(B71,[1]Sheet1!$A$5:$L$76,8,FALSE)</f>
        <v>Colombo 06</v>
      </c>
      <c r="E71">
        <f>VLOOKUP(B71,[1]Sheet1!$A$5:$L$76,9,FALSE)</f>
        <v>600</v>
      </c>
      <c r="F71" t="str">
        <f>VLOOKUP(B71,[1]Sheet1!$A$5:$L$76,10,FALSE)</f>
        <v>070 676 9965</v>
      </c>
      <c r="G71" t="str">
        <f>VLOOKUP(B71,[1]Sheet1!$A$5:$L$76,11,FALSE)</f>
        <v xml:space="preserve">6.872320044467023, </v>
      </c>
      <c r="H71">
        <f>VLOOKUP(B71,[1]Sheet1!$A$5:$L$76,12,FALSE)</f>
        <v>79.866141740000003</v>
      </c>
      <c r="I71">
        <f>VLOOKUP(B71,[1]Sheet1!$A$5:$L$76,2,FALSE)</f>
        <v>161392433.30000001</v>
      </c>
      <c r="J71" s="1">
        <f>VLOOKUP(B71,[1]Sheet1!$A$5:$E$76,3,FALSE)</f>
        <v>828570</v>
      </c>
    </row>
    <row r="72" spans="1:10" x14ac:dyDescent="0.35">
      <c r="A72">
        <v>71</v>
      </c>
      <c r="B72" s="2" t="s">
        <v>78</v>
      </c>
      <c r="C72" t="str">
        <f>VLOOKUP(B72,[1]Sheet1!$A$5:$L$76,7,FALSE)</f>
        <v xml:space="preserve"> NO. 6, RADAWANA ROAD, YAKKALA</v>
      </c>
      <c r="D72" t="str">
        <f>VLOOKUP(B72,[1]Sheet1!$A$5:$L$76,8,FALSE)</f>
        <v>Yakkala</v>
      </c>
      <c r="E72">
        <f>VLOOKUP(B72,[1]Sheet1!$A$5:$L$76,9,FALSE)</f>
        <v>11870</v>
      </c>
      <c r="F72" t="str">
        <f>VLOOKUP(B72,[1]Sheet1!$A$5:$L$76,10,FALSE)</f>
        <v>070 404 0221</v>
      </c>
      <c r="G72" t="str">
        <f>VLOOKUP(B72,[1]Sheet1!$A$5:$L$76,11,FALSE)</f>
        <v xml:space="preserve">7.085387527046633, </v>
      </c>
      <c r="H72">
        <f>VLOOKUP(B72,[1]Sheet1!$A$5:$L$76,12,FALSE)</f>
        <v>80.034986099999998</v>
      </c>
      <c r="I72">
        <f>VLOOKUP(B72,[1]Sheet1!$A$5:$L$76,2,FALSE)</f>
        <v>41159186</v>
      </c>
      <c r="J72" s="1">
        <f>VLOOKUP(B72,[1]Sheet1!$A$5:$E$76,3,FALSE)</f>
        <v>150260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2026-03-12T06:45:41Z</dcterms:created>
  <dcterms:modified xsi:type="dcterms:W3CDTF">2026-03-23T12:08:25Z</dcterms:modified>
</cp:coreProperties>
</file>